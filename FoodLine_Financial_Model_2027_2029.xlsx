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Assumptions &amp; Drivers" sheetId="2" state="visible" r:id="rId2"/>
    <sheet xmlns:r="http://schemas.openxmlformats.org/officeDocument/2006/relationships" name="Unit Economics &amp; Pilot" sheetId="3" state="visible" r:id="rId3"/>
    <sheet xmlns:r="http://schemas.openxmlformats.org/officeDocument/2006/relationships" name="Income Statement (P&amp;L)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Break-Even &amp; 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;[Red](₹#,##0);&quot;-&quot;"/>
    <numFmt numFmtId="165" formatCode="0.0%"/>
    <numFmt numFmtId="166" formatCode="₹#,##0.00;[Red](₹#,##0.00);&quot;-&quot;"/>
    <numFmt numFmtId="167" formatCode="0.0 &quot;Months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B7280"/>
      <sz val="10"/>
    </font>
    <font>
      <name val="Calibri"/>
      <b val="1"/>
      <color rgb="001A1A2E"/>
      <sz val="18"/>
    </font>
    <font>
      <name val="Calibri"/>
      <b val="1"/>
      <color rgb="004B5563"/>
      <sz val="9"/>
    </font>
    <font>
      <name val="Calibri"/>
      <b val="1"/>
      <color rgb="001A1A2E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CFCE7"/>
        <bgColor rgb="00DCFCE7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  <fill>
      <patternFill patternType="solid">
        <fgColor rgb="00374151"/>
        <bgColor rgb="00374151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center" vertical="center"/>
    </xf>
    <xf numFmtId="165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3" fontId="3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165" fontId="8" fillId="3" borderId="1" applyAlignment="1" pivotButton="0" quotePrefix="0" xfId="0">
      <alignment horizontal="right" vertical="center"/>
    </xf>
    <xf numFmtId="0" fontId="8" fillId="4" borderId="1" pivotButton="0" quotePrefix="0" xfId="0"/>
    <xf numFmtId="0" fontId="8" fillId="7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166" fontId="7" fillId="0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0" fontId="8" fillId="7" borderId="1" pivotButton="0" quotePrefix="0" xfId="0"/>
    <xf numFmtId="166" fontId="8" fillId="7" borderId="1" applyAlignment="1" pivotButton="0" quotePrefix="0" xfId="0">
      <alignment horizontal="right" vertical="center"/>
    </xf>
    <xf numFmtId="0" fontId="7" fillId="0" borderId="1" pivotButton="0" quotePrefix="0" xfId="0"/>
    <xf numFmtId="0" fontId="8" fillId="3" borderId="1" pivotButton="0" quotePrefix="0" xfId="0"/>
    <xf numFmtId="166" fontId="8" fillId="3" borderId="1" applyAlignment="1" pivotButton="0" quotePrefix="0" xfId="0">
      <alignment horizontal="right" vertical="center"/>
    </xf>
    <xf numFmtId="0" fontId="8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167" fontId="8" fillId="7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0" fontId="8" fillId="5" borderId="1" pivotButton="0" quotePrefix="0" xfId="0"/>
    <xf numFmtId="164" fontId="8" fillId="5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6" customHeight="1">
      <c r="A1" s="1" t="inlineStr">
        <is>
          <t xml:space="preserve">  FoodLine Campus — Executive Financial Dashboard (2027–2029)</t>
        </is>
      </c>
    </row>
    <row r="2" ht="20" customHeight="1">
      <c r="A2" s="2" t="inlineStr">
        <is>
          <t xml:space="preserve">  High-level performance summary, 3-year growth metrics, unit economics, and seed investment ask</t>
        </is>
      </c>
    </row>
    <row r="3"/>
    <row r="4">
      <c r="B4" s="3">
        <f>'Income Statement (P&amp;L)'!C12+'Income Statement (P&amp;L)'!D12+'Income Statement (P&amp;L)'!E12</f>
        <v/>
      </c>
      <c r="D4" s="3">
        <f>'Income Statement (P&amp;L)'!E25</f>
        <v/>
      </c>
      <c r="F4" s="4">
        <f>'Income Statement (P&amp;L)'!E26</f>
        <v/>
      </c>
    </row>
    <row r="5"/>
    <row r="6">
      <c r="B6" s="5" t="inlineStr">
        <is>
          <t>3-YEAR CUMULATIVE REVENUE</t>
        </is>
      </c>
      <c r="D6" s="5" t="inlineStr">
        <is>
          <t>YEAR 3 NET PROFIT</t>
        </is>
      </c>
      <c r="F6" s="5" t="inlineStr">
        <is>
          <t>YEAR 3 NET MARGIN</t>
        </is>
      </c>
    </row>
    <row r="7"/>
    <row r="8">
      <c r="B8" s="6">
        <f>'Cash Flow Statement'!E21</f>
        <v/>
      </c>
      <c r="D8" s="7">
        <f>'Assumptions &amp; Drivers'!E6</f>
        <v/>
      </c>
      <c r="F8" s="7">
        <f>'Assumptions &amp; Drivers'!E7</f>
        <v/>
      </c>
    </row>
    <row r="9"/>
    <row r="10">
      <c r="B10" s="5" t="inlineStr">
        <is>
          <t>YEAR 3 CASH WAR CHEST</t>
        </is>
      </c>
      <c r="D10" s="5" t="inlineStr">
        <is>
          <t>CAMPUS REACH (YEAR 3)</t>
        </is>
      </c>
      <c r="F10" s="5" t="inlineStr">
        <is>
          <t>CANTEEN REACH (YEAR 3)</t>
        </is>
      </c>
    </row>
    <row r="11"/>
    <row r="12">
      <c r="B12" s="8" t="inlineStr">
        <is>
          <t>3-YEAR EXECUTIVE SUMMARY TABLE</t>
        </is>
      </c>
    </row>
    <row r="13">
      <c r="B13" s="9" t="inlineStr">
        <is>
          <t>Performance Metric</t>
        </is>
      </c>
      <c r="C13" s="10" t="inlineStr">
        <is>
          <t>2027 (FY 26-27)</t>
        </is>
      </c>
      <c r="D13" s="10" t="inlineStr">
        <is>
          <t>2028 (FY 27-28)</t>
        </is>
      </c>
      <c r="E13" s="10" t="inlineStr">
        <is>
          <t>2029 (FY 28-29)</t>
        </is>
      </c>
      <c r="F13" s="10" t="inlineStr">
        <is>
          <t>3-Yr CAGR / Growth</t>
        </is>
      </c>
    </row>
    <row r="14">
      <c r="B14" s="11" t="inlineStr">
        <is>
          <t>Active Campuses</t>
        </is>
      </c>
      <c r="C14" s="12">
        <f>'Assumptions &amp; Drivers'!C6</f>
        <v/>
      </c>
      <c r="D14" s="12">
        <f>'Assumptions &amp; Drivers'!D6</f>
        <v/>
      </c>
      <c r="E14" s="12">
        <f>'Assumptions &amp; Drivers'!E6</f>
        <v/>
      </c>
      <c r="F14" s="13">
        <f>(E14/C14)^(1/2)-1</f>
        <v/>
      </c>
    </row>
    <row r="15">
      <c r="B15" s="11" t="inlineStr">
        <is>
          <t>Active Canteens (Counters)</t>
        </is>
      </c>
      <c r="C15" s="12">
        <f>'Assumptions &amp; Drivers'!C7</f>
        <v/>
      </c>
      <c r="D15" s="12">
        <f>'Assumptions &amp; Drivers'!D7</f>
        <v/>
      </c>
      <c r="E15" s="12">
        <f>'Assumptions &amp; Drivers'!E7</f>
        <v/>
      </c>
      <c r="F15" s="13">
        <f>(E15/C15)^(1/2)-1</f>
        <v/>
      </c>
    </row>
    <row r="16">
      <c r="B16" s="11" t="inlineStr">
        <is>
          <t>Annual Order Volume</t>
        </is>
      </c>
      <c r="C16" s="12">
        <f>'Income Statement (P&amp;L)'!C5</f>
        <v/>
      </c>
      <c r="D16" s="12">
        <f>'Income Statement (P&amp;L)'!D5</f>
        <v/>
      </c>
      <c r="E16" s="12">
        <f>'Income Statement (P&amp;L)'!E5</f>
        <v/>
      </c>
      <c r="F16" s="13">
        <f>(E16/C16)^(1/2)-1</f>
        <v/>
      </c>
    </row>
    <row r="17">
      <c r="B17" s="11" t="inlineStr">
        <is>
          <t>Gross Merchandise Value (GMV)</t>
        </is>
      </c>
      <c r="C17" s="14">
        <f>'Income Statement (P&amp;L)'!C6</f>
        <v/>
      </c>
      <c r="D17" s="14">
        <f>'Income Statement (P&amp;L)'!D6</f>
        <v/>
      </c>
      <c r="E17" s="14">
        <f>'Income Statement (P&amp;L)'!E6</f>
        <v/>
      </c>
      <c r="F17" s="13">
        <f>(E17/C17)^(1/2)-1</f>
        <v/>
      </c>
    </row>
    <row r="18">
      <c r="B18" s="15" t="inlineStr">
        <is>
          <t>Total Gross Revenue</t>
        </is>
      </c>
      <c r="C18" s="16">
        <f>'Income Statement (P&amp;L)'!C12</f>
        <v/>
      </c>
      <c r="D18" s="16">
        <f>'Income Statement (P&amp;L)'!D12</f>
        <v/>
      </c>
      <c r="E18" s="16">
        <f>'Income Statement (P&amp;L)'!E12</f>
        <v/>
      </c>
      <c r="F18" s="13">
        <f>(E18/C18)^(1/2)-1</f>
        <v/>
      </c>
    </row>
    <row r="19">
      <c r="B19" s="15" t="inlineStr">
        <is>
          <t>Gross Profit</t>
        </is>
      </c>
      <c r="C19" s="16">
        <f>'Income Statement (P&amp;L)'!C14</f>
        <v/>
      </c>
      <c r="D19" s="16">
        <f>'Income Statement (P&amp;L)'!D14</f>
        <v/>
      </c>
      <c r="E19" s="16">
        <f>'Income Statement (P&amp;L)'!E14</f>
        <v/>
      </c>
      <c r="F19" s="13">
        <f>(E19/C19)^(1/2)-1</f>
        <v/>
      </c>
    </row>
    <row r="20">
      <c r="B20" s="15" t="inlineStr">
        <is>
          <t>Gross Profit Margin %</t>
        </is>
      </c>
      <c r="C20" s="17">
        <f>'Income Statement (P&amp;L)'!C15</f>
        <v/>
      </c>
      <c r="D20" s="17">
        <f>'Income Statement (P&amp;L)'!D15</f>
        <v/>
      </c>
      <c r="E20" s="17">
        <f>'Income Statement (P&amp;L)'!E15</f>
        <v/>
      </c>
      <c r="F20" s="13">
        <f>E20-C20</f>
        <v/>
      </c>
    </row>
    <row r="21">
      <c r="B21" s="11" t="inlineStr">
        <is>
          <t>Total Operating Expenses</t>
        </is>
      </c>
      <c r="C21" s="14">
        <f>'Income Statement (P&amp;L)'!C23</f>
        <v/>
      </c>
      <c r="D21" s="14">
        <f>'Income Statement (P&amp;L)'!D23</f>
        <v/>
      </c>
      <c r="E21" s="14">
        <f>'Income Statement (P&amp;L)'!E23</f>
        <v/>
      </c>
      <c r="F21" s="13">
        <f>(E21/C21)^(1/2)-1</f>
        <v/>
      </c>
    </row>
    <row r="22">
      <c r="B22" s="15" t="inlineStr">
        <is>
          <t>Net Profit / (Loss)</t>
        </is>
      </c>
      <c r="C22" s="18">
        <f>'Income Statement (P&amp;L)'!C25</f>
        <v/>
      </c>
      <c r="D22" s="19">
        <f>'Income Statement (P&amp;L)'!D25</f>
        <v/>
      </c>
      <c r="E22" s="19">
        <f>'Income Statement (P&amp;L)'!E25</f>
        <v/>
      </c>
      <c r="F22" s="20" t="inlineStr">
        <is>
          <t>N/A (Turnaround)</t>
        </is>
      </c>
    </row>
    <row r="23">
      <c r="B23" s="15" t="inlineStr">
        <is>
          <t>Net Profit Margin %</t>
        </is>
      </c>
      <c r="C23" s="21">
        <f>'Income Statement (P&amp;L)'!C26</f>
        <v/>
      </c>
      <c r="D23" s="22">
        <f>'Income Statement (P&amp;L)'!D26</f>
        <v/>
      </c>
      <c r="E23" s="22">
        <f>'Income Statement (P&amp;L)'!E26</f>
        <v/>
      </c>
      <c r="F23" s="13">
        <f>E23-C23</f>
        <v/>
      </c>
    </row>
    <row r="24">
      <c r="B24" s="11" t="inlineStr">
        <is>
          <t>Ending Cash Balance</t>
        </is>
      </c>
      <c r="C24" s="14">
        <f>'Cash Flow Statement'!C21</f>
        <v/>
      </c>
      <c r="D24" s="14">
        <f>'Cash Flow Statement'!D21</f>
        <v/>
      </c>
      <c r="E24" s="14">
        <f>'Cash Flow Statement'!E21</f>
        <v/>
      </c>
      <c r="F24" s="13">
        <f>(E24/C24)^(1/2)-1</f>
        <v/>
      </c>
    </row>
    <row r="25"/>
    <row r="26">
      <c r="B26" s="8" t="inlineStr">
        <is>
          <t>THE INVESTMENT ASK &amp; CAPITAL ALLOCATION</t>
        </is>
      </c>
    </row>
    <row r="27">
      <c r="B27" s="23" t="inlineStr">
        <is>
          <t>Investment Target</t>
        </is>
      </c>
      <c r="C27" s="24" t="inlineStr">
        <is>
          <t>₹50,00,000 (₹50 Lakhs)</t>
        </is>
      </c>
      <c r="D27" s="25" t="inlineStr">
        <is>
          <t>Seed capital funding round</t>
        </is>
      </c>
    </row>
    <row r="28">
      <c r="B28" s="23" t="inlineStr">
        <is>
          <t>Equity Offered</t>
        </is>
      </c>
      <c r="C28" s="26" t="inlineStr">
        <is>
          <t>5.0%</t>
        </is>
      </c>
      <c r="D28" s="25" t="inlineStr">
        <is>
          <t>Dilution on pre-money valuation</t>
        </is>
      </c>
    </row>
    <row r="29">
      <c r="B29" s="23" t="inlineStr">
        <is>
          <t>Post-Money Valuation</t>
        </is>
      </c>
      <c r="C29" s="24" t="inlineStr">
        <is>
          <t>₹10,00,00,000 (₹10.00 Crores)</t>
        </is>
      </c>
      <c r="D29" s="25" t="inlineStr">
        <is>
          <t>Based on 300 campus pipeline &amp; tech IP</t>
        </is>
      </c>
    </row>
    <row r="30">
      <c r="B30" s="23" t="inlineStr">
        <is>
          <t>Operational Runway</t>
        </is>
      </c>
      <c r="C30" s="15" t="inlineStr">
        <is>
          <t>18 Months</t>
        </is>
      </c>
      <c r="D30" s="25" t="inlineStr">
        <is>
          <t>Fully covers expansion through break-even</t>
        </is>
      </c>
    </row>
    <row r="31">
      <c r="B31" s="23" t="inlineStr">
        <is>
          <t>Payback Period per Canteen</t>
        </is>
      </c>
      <c r="C31" s="15" t="inlineStr">
        <is>
          <t>4.2 Months</t>
        </is>
      </c>
      <c r="D31" s="25" t="inlineStr">
        <is>
          <t>Capital recovery on KDS tablet deployment</t>
        </is>
      </c>
    </row>
    <row r="32">
      <c r="B32" s="23" t="inlineStr">
        <is>
          <t>Use of Funds: Tech &amp; AI Engine</t>
        </is>
      </c>
      <c r="C32" s="26" t="inlineStr">
        <is>
          <t>45% (₹22,50,000)</t>
        </is>
      </c>
      <c r="D32" s="25" t="inlineStr">
        <is>
          <t>Predictive slot throttling &amp; KDS upgrades</t>
        </is>
      </c>
    </row>
    <row r="33">
      <c r="B33" s="23" t="inlineStr">
        <is>
          <t>Use of Funds: Hardware Rollout</t>
        </is>
      </c>
      <c r="C33" s="26" t="inlineStr">
        <is>
          <t>35% (₹17,50,000)</t>
        </is>
      </c>
      <c r="D33" s="25" t="inlineStr">
        <is>
          <t>Deployment of 225 rugged KDS tablets</t>
        </is>
      </c>
    </row>
    <row r="34">
      <c r="B34" s="23" t="inlineStr">
        <is>
          <t>Use of Funds: Growth &amp; Marketing</t>
        </is>
      </c>
      <c r="C34" s="26" t="inlineStr">
        <is>
          <t>20% (₹10,00,000)</t>
        </is>
      </c>
      <c r="D34" s="25" t="inlineStr">
        <is>
          <t>Campus ambassador stipends &amp; activation</t>
        </is>
      </c>
    </row>
  </sheetData>
  <mergeCells count="22">
    <mergeCell ref="F8:G9"/>
    <mergeCell ref="D4:E5"/>
    <mergeCell ref="D10:E10"/>
    <mergeCell ref="D27:F27"/>
    <mergeCell ref="F10:G10"/>
    <mergeCell ref="D32:F32"/>
    <mergeCell ref="F6:G6"/>
    <mergeCell ref="D6:E6"/>
    <mergeCell ref="D8:E9"/>
    <mergeCell ref="D28:F28"/>
    <mergeCell ref="D30:F30"/>
    <mergeCell ref="D33:F33"/>
    <mergeCell ref="B4:C5"/>
    <mergeCell ref="F4:G5"/>
    <mergeCell ref="A1:G1"/>
    <mergeCell ref="D29:F29"/>
    <mergeCell ref="B10:C10"/>
    <mergeCell ref="D34:F34"/>
    <mergeCell ref="B6:C6"/>
    <mergeCell ref="B8:C9"/>
    <mergeCell ref="D31:F31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52" customWidth="1" min="6" max="6"/>
  </cols>
  <sheetData>
    <row r="1" ht="36" customHeight="1">
      <c r="A1" s="1" t="inlineStr">
        <is>
          <t xml:space="preserve">  FoodLine Campus — Financial Model Assumptions &amp; Key Drivers</t>
        </is>
      </c>
    </row>
    <row r="2" ht="20" customHeight="1">
      <c r="A2" s="2" t="inlineStr">
        <is>
          <t xml:space="preserve">  Master variables powering 3-Year P&amp;L, Cash Flow, Balance Sheet, and Unit Economics</t>
        </is>
      </c>
    </row>
    <row r="3"/>
    <row r="4">
      <c r="A4" s="8" t="inlineStr">
        <is>
          <t>1. CAMPUS SCALE &amp; STUDENT TRAFFIC</t>
        </is>
      </c>
    </row>
    <row r="5">
      <c r="A5" s="9" t="inlineStr">
        <is>
          <t>Parameter</t>
        </is>
      </c>
      <c r="B5" s="27" t="inlineStr">
        <is>
          <t>Unit</t>
        </is>
      </c>
      <c r="C5" s="10" t="inlineStr">
        <is>
          <t>2027 (FY 26-27)</t>
        </is>
      </c>
      <c r="D5" s="10" t="inlineStr">
        <is>
          <t>2028 (FY 27-28)</t>
        </is>
      </c>
      <c r="E5" s="10" t="inlineStr">
        <is>
          <t>2029 (FY 28-29)</t>
        </is>
      </c>
      <c r="F5" s="10" t="inlineStr">
        <is>
          <t>Strategic Basis</t>
        </is>
      </c>
    </row>
    <row r="6">
      <c r="A6" s="11" t="inlineStr">
        <is>
          <t>Active Partner Campuses</t>
        </is>
      </c>
      <c r="B6" s="28" t="inlineStr">
        <is>
          <t>Campuses</t>
        </is>
      </c>
      <c r="C6" s="12" t="n">
        <v>15</v>
      </c>
      <c r="D6" s="12" t="n">
        <v>75</v>
      </c>
      <c r="E6" s="12" t="n">
        <v>300</v>
      </c>
      <c r="F6" s="25" t="inlineStr">
        <is>
          <t>Expanding across Maharashtra, Karnataka, National</t>
        </is>
      </c>
    </row>
    <row r="7">
      <c r="A7" s="11" t="inlineStr">
        <is>
          <t>Active Canteens (Counters)</t>
        </is>
      </c>
      <c r="B7" s="28" t="inlineStr">
        <is>
          <t>Counters</t>
        </is>
      </c>
      <c r="C7" s="12" t="n">
        <v>45</v>
      </c>
      <c r="D7" s="12" t="n">
        <v>225</v>
      </c>
      <c r="E7" s="12" t="n">
        <v>1000</v>
      </c>
      <c r="F7" s="25" t="inlineStr">
        <is>
          <t>Avg 3 to 3.3 canteens per campus</t>
        </is>
      </c>
    </row>
    <row r="8">
      <c r="A8" s="29" t="inlineStr">
        <is>
          <t>Total Student Body per Campus</t>
        </is>
      </c>
      <c r="B8" s="30" t="inlineStr">
        <is>
          <t>Students</t>
        </is>
      </c>
      <c r="C8" s="31" t="n">
        <v>2500</v>
      </c>
      <c r="D8" s="31" t="n">
        <v>2500</v>
      </c>
      <c r="E8" s="31" t="n">
        <v>2500</v>
      </c>
      <c r="F8" s="32" t="inlineStr">
        <is>
          <t>Standard engineering/university campus</t>
        </is>
      </c>
    </row>
    <row r="9">
      <c r="A9" s="11" t="inlineStr">
        <is>
          <t>Active Student Penetration %</t>
        </is>
      </c>
      <c r="B9" s="28" t="inlineStr">
        <is>
          <t>%</t>
        </is>
      </c>
      <c r="C9" s="13" t="n">
        <v>0.4</v>
      </c>
      <c r="D9" s="13" t="n">
        <v>0.45</v>
      </c>
      <c r="E9" s="13" t="n">
        <v>0.5</v>
      </c>
      <c r="F9" s="25" t="inlineStr">
        <is>
          <t>40% pilot baseline at Sanjivani growing to 50%</t>
        </is>
      </c>
    </row>
    <row r="10">
      <c r="A10" s="11" t="inlineStr">
        <is>
          <t>Monthly Orders per Active Student</t>
        </is>
      </c>
      <c r="B10" s="28" t="inlineStr">
        <is>
          <t>Orders/Mo</t>
        </is>
      </c>
      <c r="C10" s="20" t="n">
        <v>5</v>
      </c>
      <c r="D10" s="20" t="n">
        <v>5.5</v>
      </c>
      <c r="E10" s="20" t="n">
        <v>6</v>
      </c>
      <c r="F10" s="25" t="inlineStr">
        <is>
          <t>Frequency during active semester</t>
        </is>
      </c>
    </row>
    <row r="11">
      <c r="A11" s="11" t="inlineStr">
        <is>
          <t>Academic Operating Months per Year</t>
        </is>
      </c>
      <c r="B11" s="28" t="inlineStr">
        <is>
          <t>Months</t>
        </is>
      </c>
      <c r="C11" s="12" t="n">
        <v>10</v>
      </c>
      <c r="D11" s="12" t="n">
        <v>10</v>
      </c>
      <c r="E11" s="12" t="n">
        <v>10</v>
      </c>
      <c r="F11" s="25" t="inlineStr">
        <is>
          <t>Excludes summer vacation &amp; exam breaks</t>
        </is>
      </c>
    </row>
    <row r="12"/>
    <row r="13">
      <c r="A13" s="8" t="inlineStr">
        <is>
          <t>2. REVENUE MODEL &amp; PRICING DRIVERS</t>
        </is>
      </c>
    </row>
    <row r="14">
      <c r="A14" s="9" t="inlineStr">
        <is>
          <t>Parameter</t>
        </is>
      </c>
      <c r="B14" s="27" t="inlineStr">
        <is>
          <t>Unit</t>
        </is>
      </c>
      <c r="C14" s="10" t="inlineStr">
        <is>
          <t>2027 (FY 26-27)</t>
        </is>
      </c>
      <c r="D14" s="10" t="inlineStr">
        <is>
          <t>2028 (FY 27-28)</t>
        </is>
      </c>
      <c r="E14" s="10" t="inlineStr">
        <is>
          <t>2029 (FY 28-29)</t>
        </is>
      </c>
      <c r="F14" s="10" t="inlineStr">
        <is>
          <t>Strategic Basis</t>
        </is>
      </c>
    </row>
    <row r="15">
      <c r="A15" s="11" t="inlineStr">
        <is>
          <t>Average Order Value (AOV)</t>
        </is>
      </c>
      <c r="B15" s="28" t="inlineStr">
        <is>
          <t>₹/Order</t>
        </is>
      </c>
      <c r="C15" s="33" t="n">
        <v>65</v>
      </c>
      <c r="D15" s="33" t="n">
        <v>70</v>
      </c>
      <c r="E15" s="33" t="n">
        <v>75</v>
      </c>
      <c r="F15" s="25" t="inlineStr">
        <is>
          <t>₹65 pilot baseline (Snack + Beverage)</t>
        </is>
      </c>
    </row>
    <row r="16">
      <c r="A16" s="11" t="inlineStr">
        <is>
          <t>FoodLine Take-Rate (Merchant Commission)</t>
        </is>
      </c>
      <c r="B16" s="28" t="inlineStr">
        <is>
          <t>%</t>
        </is>
      </c>
      <c r="C16" s="13" t="n">
        <v>0.12</v>
      </c>
      <c r="D16" s="13" t="n">
        <v>0.12</v>
      </c>
      <c r="E16" s="13" t="n">
        <v>0.12</v>
      </c>
      <c r="F16" s="25" t="inlineStr">
        <is>
          <t>12% charged on incremental canteen sales</t>
        </is>
      </c>
    </row>
    <row r="17">
      <c r="A17" s="11" t="inlineStr">
        <is>
          <t>KDS SaaS Tablet Monthly Lease per Canteen</t>
        </is>
      </c>
      <c r="B17" s="28" t="inlineStr">
        <is>
          <t>₹/Month</t>
        </is>
      </c>
      <c r="C17" s="14" t="n">
        <v>2500</v>
      </c>
      <c r="D17" s="14" t="n">
        <v>2500</v>
      </c>
      <c r="E17" s="14" t="n">
        <v>2500</v>
      </c>
      <c r="F17" s="25" t="inlineStr">
        <is>
          <t>Hardware lease + kitchen management software</t>
        </is>
      </c>
    </row>
    <row r="18">
      <c r="A18" s="11" t="inlineStr">
        <is>
          <t>Student Platform Convenience Fee</t>
        </is>
      </c>
      <c r="B18" s="28" t="inlineStr">
        <is>
          <t>₹/Order</t>
        </is>
      </c>
      <c r="C18" s="33" t="n">
        <v>0</v>
      </c>
      <c r="D18" s="33" t="n">
        <v>0</v>
      </c>
      <c r="E18" s="33" t="n">
        <v>0</v>
      </c>
      <c r="F18" s="25" t="inlineStr">
        <is>
          <t>100% Free for students (Pure B2B Model)</t>
        </is>
      </c>
    </row>
    <row r="19"/>
    <row r="20">
      <c r="A20" s="8" t="inlineStr">
        <is>
          <t>3. VARIABLE COSTS PER ORDER (COGS)</t>
        </is>
      </c>
    </row>
    <row r="21">
      <c r="A21" s="9" t="inlineStr">
        <is>
          <t>Parameter</t>
        </is>
      </c>
      <c r="B21" s="27" t="inlineStr">
        <is>
          <t>Unit</t>
        </is>
      </c>
      <c r="C21" s="10" t="inlineStr">
        <is>
          <t>2027 (FY 26-27)</t>
        </is>
      </c>
      <c r="D21" s="10" t="inlineStr">
        <is>
          <t>2028 (FY 27-28)</t>
        </is>
      </c>
      <c r="E21" s="10" t="inlineStr">
        <is>
          <t>2029 (FY 28-29)</t>
        </is>
      </c>
      <c r="F21" s="10" t="inlineStr">
        <is>
          <t>Strategic Basis</t>
        </is>
      </c>
    </row>
    <row r="22">
      <c r="A22" s="11" t="inlineStr">
        <is>
          <t>Cloud Server &amp; DB (Supabase / AWS)</t>
        </is>
      </c>
      <c r="B22" s="28" t="inlineStr">
        <is>
          <t>₹/Order</t>
        </is>
      </c>
      <c r="C22" s="33" t="n">
        <v>0.8</v>
      </c>
      <c r="D22" s="33" t="n">
        <v>0.65</v>
      </c>
      <c r="E22" s="33" t="n">
        <v>0.5</v>
      </c>
      <c r="F22" s="25" t="inlineStr">
        <is>
          <t>Scales down with order density</t>
        </is>
      </c>
    </row>
    <row r="23">
      <c r="A23" s="11" t="inlineStr">
        <is>
          <t>WhatsApp &amp; SMS Notification Alerts</t>
        </is>
      </c>
      <c r="B23" s="28" t="inlineStr">
        <is>
          <t>₹/Order</t>
        </is>
      </c>
      <c r="C23" s="33" t="n">
        <v>0.4</v>
      </c>
      <c r="D23" s="33" t="n">
        <v>0.35</v>
      </c>
      <c r="E23" s="33" t="n">
        <v>0.3</v>
      </c>
      <c r="F23" s="25" t="inlineStr">
        <is>
          <t>OTP &amp; 30-sec pickup ready alert</t>
        </is>
      </c>
    </row>
    <row r="24">
      <c r="A24" s="11" t="inlineStr">
        <is>
          <t>Payment Gateway &amp; Banking (12-digit UTR)</t>
        </is>
      </c>
      <c r="B24" s="28" t="inlineStr">
        <is>
          <t>₹/Order</t>
        </is>
      </c>
      <c r="C24" s="33" t="n">
        <v>0.3</v>
      </c>
      <c r="D24" s="33" t="n">
        <v>0.25</v>
      </c>
      <c r="E24" s="33" t="n">
        <v>0.2</v>
      </c>
      <c r="F24" s="25" t="inlineStr">
        <is>
          <t>Direct UPI routing &amp; reconciliation</t>
        </is>
      </c>
    </row>
    <row r="25">
      <c r="A25" s="11" t="inlineStr">
        <is>
          <t>Campus Support &amp; Student Ambassador</t>
        </is>
      </c>
      <c r="B25" s="28" t="inlineStr">
        <is>
          <t>₹/Order</t>
        </is>
      </c>
      <c r="C25" s="33" t="n">
        <v>0.8</v>
      </c>
      <c r="D25" s="33" t="n">
        <v>0.7</v>
      </c>
      <c r="E25" s="33" t="n">
        <v>0.6</v>
      </c>
      <c r="F25" s="25" t="inlineStr">
        <is>
          <t>Field ops &amp; campus ambassador stipend</t>
        </is>
      </c>
    </row>
    <row r="26">
      <c r="A26" s="29" t="inlineStr">
        <is>
          <t>Total Variable Cost per Order</t>
        </is>
      </c>
      <c r="B26" s="30" t="inlineStr">
        <is>
          <t>₹/Order</t>
        </is>
      </c>
      <c r="C26" s="34">
        <f>SUM(C22:C25)</f>
        <v/>
      </c>
      <c r="D26" s="34">
        <f>SUM(D22:D25)</f>
        <v/>
      </c>
      <c r="E26" s="34">
        <f>SUM(E22:E25)</f>
        <v/>
      </c>
      <c r="F26" s="32" t="inlineStr">
        <is>
          <t>Formula sum</t>
        </is>
      </c>
    </row>
    <row r="27"/>
    <row r="28"/>
    <row r="29">
      <c r="A29" s="8" t="inlineStr">
        <is>
          <t>4. FIXED OPERATING EXPENSES (ANNUAL OVERHEADS)</t>
        </is>
      </c>
    </row>
    <row r="30">
      <c r="A30" s="9" t="inlineStr">
        <is>
          <t>Expense Head</t>
        </is>
      </c>
      <c r="B30" s="27" t="inlineStr">
        <is>
          <t>Category</t>
        </is>
      </c>
      <c r="C30" s="10" t="inlineStr">
        <is>
          <t>2027 (FY 26-27)</t>
        </is>
      </c>
      <c r="D30" s="10" t="inlineStr">
        <is>
          <t>2028 (FY 27-28)</t>
        </is>
      </c>
      <c r="E30" s="10" t="inlineStr">
        <is>
          <t>2029 (FY 28-29)</t>
        </is>
      </c>
      <c r="F30" s="10" t="inlineStr">
        <is>
          <t>Strategic Basis</t>
        </is>
      </c>
    </row>
    <row r="31">
      <c r="A31" s="11" t="inlineStr">
        <is>
          <t>Cloud Hosting &amp; Gateway APIs</t>
        </is>
      </c>
      <c r="B31" s="28" t="inlineStr">
        <is>
          <t>Tech Infrastructure</t>
        </is>
      </c>
      <c r="C31" s="20" t="n">
        <v>650000</v>
      </c>
      <c r="D31" s="20" t="n">
        <v>3200000</v>
      </c>
      <c r="E31" s="20" t="n">
        <v>15000000</v>
      </c>
      <c r="F31" s="25" t="inlineStr">
        <is>
          <t>AWS, Supabase, SMS &amp; WhatsApp APIs</t>
        </is>
      </c>
    </row>
    <row r="32">
      <c r="A32" s="11" t="inlineStr">
        <is>
          <t>Operational &amp; Field Salaries</t>
        </is>
      </c>
      <c r="B32" s="28" t="inlineStr">
        <is>
          <t>Human Capital</t>
        </is>
      </c>
      <c r="C32" s="20" t="n">
        <v>1800000</v>
      </c>
      <c r="D32" s="20" t="n">
        <v>8500000</v>
      </c>
      <c r="E32" s="20" t="n">
        <v>42000000</v>
      </c>
      <c r="F32" s="25" t="inlineStr">
        <is>
          <t>Tech leads, campus ops &amp; managers</t>
        </is>
      </c>
    </row>
    <row r="33">
      <c r="A33" s="11" t="inlineStr">
        <is>
          <t>Marketing &amp; Campus Activation</t>
        </is>
      </c>
      <c r="B33" s="28" t="inlineStr">
        <is>
          <t>Growth &amp; GTM</t>
        </is>
      </c>
      <c r="C33" s="20" t="n">
        <v>800000</v>
      </c>
      <c r="D33" s="20" t="n">
        <v>4200000</v>
      </c>
      <c r="E33" s="20" t="n">
        <v>18000000</v>
      </c>
      <c r="F33" s="25" t="inlineStr">
        <is>
          <t>QR table stands, fests, promotions</t>
        </is>
      </c>
    </row>
    <row r="34">
      <c r="A34" s="11" t="inlineStr">
        <is>
          <t>Canteen Hardware Maintenance &amp; Tech</t>
        </is>
      </c>
      <c r="B34" s="28" t="inlineStr">
        <is>
          <t>Hardware Ops</t>
        </is>
      </c>
      <c r="C34" s="20" t="n">
        <v>300000</v>
      </c>
      <c r="D34" s="20" t="n">
        <v>1500000</v>
      </c>
      <c r="E34" s="20" t="n">
        <v>6000000</v>
      </c>
      <c r="F34" s="25" t="inlineStr">
        <is>
          <t>KDS tablet maintenance &amp; spares</t>
        </is>
      </c>
    </row>
    <row r="35">
      <c r="A35" s="11" t="inlineStr">
        <is>
          <t>Legal, Admin &amp; Contingency</t>
        </is>
      </c>
      <c r="B35" s="28" t="inlineStr">
        <is>
          <t>General &amp; Admin</t>
        </is>
      </c>
      <c r="C35" s="20" t="n">
        <v>250000</v>
      </c>
      <c r="D35" s="20" t="n">
        <v>1000000</v>
      </c>
      <c r="E35" s="20" t="n">
        <v>3500000</v>
      </c>
      <c r="F35" s="25" t="inlineStr">
        <is>
          <t>Compliance, audit &amp; travel</t>
        </is>
      </c>
    </row>
    <row r="36">
      <c r="A36" s="11" t="inlineStr">
        <is>
          <t>Hardware Depreciation</t>
        </is>
      </c>
      <c r="B36" s="28" t="inlineStr">
        <is>
          <t>Non-Cash Expense</t>
        </is>
      </c>
      <c r="C36" s="20" t="n">
        <v>250000</v>
      </c>
      <c r="D36" s="20" t="n">
        <v>750000</v>
      </c>
      <c r="E36" s="20" t="n">
        <v>2500000</v>
      </c>
      <c r="F36" s="25" t="inlineStr">
        <is>
          <t>Straight-line depreciation on KDS</t>
        </is>
      </c>
    </row>
    <row r="37">
      <c r="A37" s="29" t="inlineStr">
        <is>
          <t>Total Fixed Operating Expenses</t>
        </is>
      </c>
      <c r="B37" s="30" t="inlineStr">
        <is>
          <t>Total OPEX</t>
        </is>
      </c>
      <c r="C37" s="35">
        <f>SUM(C31:C36)</f>
        <v/>
      </c>
      <c r="D37" s="35">
        <f>SUM(D31:D36)</f>
        <v/>
      </c>
      <c r="E37" s="35">
        <f>SUM(E31:E36)</f>
        <v/>
      </c>
      <c r="F37" s="32" t="inlineStr">
        <is>
          <t>Formula sum</t>
        </is>
      </c>
    </row>
    <row r="38"/>
    <row r="39"/>
    <row r="40">
      <c r="A40" s="8" t="inlineStr">
        <is>
          <t>5. CAPITAL STRUCTURE &amp; FUNDING INFLOWS</t>
        </is>
      </c>
    </row>
    <row r="41">
      <c r="A41" s="9" t="inlineStr">
        <is>
          <t>Capital Inflow Source</t>
        </is>
      </c>
      <c r="B41" s="27" t="inlineStr">
        <is>
          <t>Type</t>
        </is>
      </c>
      <c r="C41" s="10" t="inlineStr">
        <is>
          <t>2027 (FY 26-27)</t>
        </is>
      </c>
      <c r="D41" s="10" t="inlineStr">
        <is>
          <t>2028 (FY 27-28)</t>
        </is>
      </c>
      <c r="E41" s="10" t="inlineStr">
        <is>
          <t>2029 (FY 28-29)</t>
        </is>
      </c>
      <c r="F41" s="10" t="inlineStr">
        <is>
          <t>Strategic Basis</t>
        </is>
      </c>
    </row>
    <row r="42">
      <c r="A42" s="11" t="inlineStr">
        <is>
          <t>Owner / Founder Equity Investment</t>
        </is>
      </c>
      <c r="B42" s="28" t="inlineStr">
        <is>
          <t>Equity</t>
        </is>
      </c>
      <c r="C42" s="20" t="n">
        <v>2000000</v>
      </c>
      <c r="D42" s="20" t="n">
        <v>0</v>
      </c>
      <c r="E42" s="20" t="n">
        <v>0</v>
      </c>
      <c r="F42" s="25" t="inlineStr">
        <is>
          <t>Initial founder commitment</t>
        </is>
      </c>
    </row>
    <row r="43">
      <c r="A43" s="11" t="inlineStr">
        <is>
          <t>Seed Capital / Incubation Grant Received</t>
        </is>
      </c>
      <c r="B43" s="28" t="inlineStr">
        <is>
          <t>Grant / Seed</t>
        </is>
      </c>
      <c r="C43" s="20" t="n">
        <v>250000</v>
      </c>
      <c r="D43" s="20" t="n">
        <v>5000000</v>
      </c>
      <c r="E43" s="20" t="n">
        <v>0</v>
      </c>
      <c r="F43" s="25" t="inlineStr">
        <is>
          <t>SCILL incubation grant + Seed round</t>
        </is>
      </c>
    </row>
    <row r="44">
      <c r="A44" s="11" t="inlineStr">
        <is>
          <t>Bank Loan / Angel Capital (Debt)</t>
        </is>
      </c>
      <c r="B44" s="28" t="inlineStr">
        <is>
          <t>Debt</t>
        </is>
      </c>
      <c r="C44" s="20" t="n">
        <v>250000</v>
      </c>
      <c r="D44" s="20" t="n">
        <v>1250000</v>
      </c>
      <c r="E44" s="20" t="n">
        <v>3000000</v>
      </c>
      <c r="F44" s="25" t="inlineStr">
        <is>
          <t>Working capital line if required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4" customWidth="1" min="1" max="1"/>
    <col width="34" customWidth="1" min="2" max="2"/>
    <col width="22" customWidth="1" min="3" max="3"/>
    <col width="18" customWidth="1" min="4" max="4"/>
    <col width="46" customWidth="1" min="5" max="5"/>
    <col width="14" customWidth="1" min="6" max="6"/>
  </cols>
  <sheetData>
    <row r="1" ht="36" customHeight="1">
      <c r="A1" s="1" t="inlineStr">
        <is>
          <t xml:space="preserve">  FoodLine Campus — Unit Economics &amp; Single-Campus Pilot Model</t>
        </is>
      </c>
    </row>
    <row r="2" ht="20" customHeight="1">
      <c r="A2" s="2" t="inlineStr">
        <is>
          <t xml:space="preserve">  Per-order contribution margins, canteen economics, and Cafe @7 pilot metrics</t>
        </is>
      </c>
    </row>
    <row r="3"/>
    <row r="4">
      <c r="A4" s="8" t="inlineStr">
        <is>
          <t>1. PER-ORDER UNIT ECONOMICS BREAKDOWN</t>
        </is>
      </c>
    </row>
    <row r="5">
      <c r="A5" s="9" t="inlineStr">
        <is>
          <t>Unit Economic Component</t>
        </is>
      </c>
      <c r="B5" s="9" t="inlineStr">
        <is>
          <t>Formula / Derivation</t>
        </is>
      </c>
      <c r="C5" s="10" t="inlineStr">
        <is>
          <t>Amount (₹)</t>
        </is>
      </c>
      <c r="D5" s="10" t="inlineStr">
        <is>
          <t>% of AOV</t>
        </is>
      </c>
      <c r="E5" s="9" t="inlineStr">
        <is>
          <t>Operational Description</t>
        </is>
      </c>
    </row>
    <row r="6">
      <c r="A6" s="23" t="inlineStr">
        <is>
          <t>Average Order Value (AOV)</t>
        </is>
      </c>
      <c r="B6" s="11" t="inlineStr">
        <is>
          <t>Assumptions &amp; Drivers C15</t>
        </is>
      </c>
      <c r="C6" s="34">
        <f>'Assumptions &amp; Drivers'!C15</f>
        <v/>
      </c>
      <c r="D6" s="36">
        <f>C6/C6</f>
        <v/>
      </c>
      <c r="E6" s="25" t="inlineStr">
        <is>
          <t>Based on 2 items (e.g., Snack + Drink)</t>
        </is>
      </c>
    </row>
    <row r="7">
      <c r="A7" s="37" t="inlineStr">
        <is>
          <t>FoodLine Take-Rate Revenue (12%)</t>
        </is>
      </c>
      <c r="B7" s="11" t="inlineStr">
        <is>
          <t>AOV * Take-Rate (12%)</t>
        </is>
      </c>
      <c r="C7" s="38">
        <f>C6*'Assumptions &amp; Drivers'!C16</f>
        <v/>
      </c>
      <c r="D7" s="21">
        <f>C7/C6</f>
        <v/>
      </c>
      <c r="E7" s="25" t="inlineStr">
        <is>
          <t>Charged directly to canteen merchant</t>
        </is>
      </c>
    </row>
    <row r="8">
      <c r="A8" s="39" t="inlineStr">
        <is>
          <t xml:space="preserve">  (-) Cloud &amp; Server Cost</t>
        </is>
      </c>
      <c r="B8" s="11" t="inlineStr">
        <is>
          <t>Assumptions &amp; Drivers C22</t>
        </is>
      </c>
      <c r="C8" s="33">
        <f>-'Assumptions &amp; Drivers'!C22</f>
        <v/>
      </c>
      <c r="D8" s="13">
        <f>C8/C6</f>
        <v/>
      </c>
      <c r="E8" s="25" t="inlineStr">
        <is>
          <t>Supabase DB, real-time SSE stream</t>
        </is>
      </c>
    </row>
    <row r="9">
      <c r="A9" s="39" t="inlineStr">
        <is>
          <t xml:space="preserve">  (-) WhatsApp &amp; SMS Alerts</t>
        </is>
      </c>
      <c r="B9" s="11" t="inlineStr">
        <is>
          <t>Assumptions &amp; Drivers C23</t>
        </is>
      </c>
      <c r="C9" s="33">
        <f>-'Assumptions &amp; Drivers'!C23</f>
        <v/>
      </c>
      <c r="D9" s="13">
        <f>C9/C6</f>
        <v/>
      </c>
      <c r="E9" s="25" t="inlineStr">
        <is>
          <t>Transactional OTP &amp; pickup alert</t>
        </is>
      </c>
    </row>
    <row r="10">
      <c r="A10" s="39" t="inlineStr">
        <is>
          <t xml:space="preserve">  (-) Payment Gateway / Banking</t>
        </is>
      </c>
      <c r="B10" s="11" t="inlineStr">
        <is>
          <t>Assumptions &amp; Drivers C24</t>
        </is>
      </c>
      <c r="C10" s="33">
        <f>-'Assumptions &amp; Drivers'!C24</f>
        <v/>
      </c>
      <c r="D10" s="13">
        <f>C10/C6</f>
        <v/>
      </c>
      <c r="E10" s="25" t="inlineStr">
        <is>
          <t>12-digit UTR direct UPI routing</t>
        </is>
      </c>
    </row>
    <row r="11">
      <c r="A11" s="39" t="inlineStr">
        <is>
          <t xml:space="preserve">  (-) Campus Support &amp; Field Ops</t>
        </is>
      </c>
      <c r="B11" s="11" t="inlineStr">
        <is>
          <t>Assumptions &amp; Drivers C25</t>
        </is>
      </c>
      <c r="C11" s="33">
        <f>-'Assumptions &amp; Drivers'!C25</f>
        <v/>
      </c>
      <c r="D11" s="13">
        <f>C11/C6</f>
        <v/>
      </c>
      <c r="E11" s="25" t="inlineStr">
        <is>
          <t>Student ambassador stipend allocation</t>
        </is>
      </c>
    </row>
    <row r="12">
      <c r="A12" s="23" t="inlineStr">
        <is>
          <t>Total Variable Cost per Order (COGS)</t>
        </is>
      </c>
      <c r="B12" s="11" t="inlineStr">
        <is>
          <t>SUM(Cloud .. Support)</t>
        </is>
      </c>
      <c r="C12" s="34">
        <f>SUM(C8:C11)</f>
        <v/>
      </c>
      <c r="D12" s="36">
        <f>C12/C6</f>
        <v/>
      </c>
      <c r="E12" s="25" t="inlineStr">
        <is>
          <t>Total direct delivery cost per order</t>
        </is>
      </c>
    </row>
    <row r="13">
      <c r="A13" s="40" t="inlineStr">
        <is>
          <t>Net Contribution Margin per Order</t>
        </is>
      </c>
      <c r="B13" s="11" t="inlineStr">
        <is>
          <t>Take-Rate Revenue + Total Variable Cost</t>
        </is>
      </c>
      <c r="C13" s="41">
        <f>C7+C12</f>
        <v/>
      </c>
      <c r="D13" s="22">
        <f>C13/C7</f>
        <v/>
      </c>
      <c r="E13" s="25" t="inlineStr">
        <is>
          <t>Contribution margin on Take-Rate revenue</t>
        </is>
      </c>
    </row>
    <row r="14"/>
    <row r="15"/>
    <row r="16">
      <c r="A16" s="8" t="inlineStr">
        <is>
          <t>2. SINGLE-CAMPUS PILOT ANNUAL MODEL (SANJIVANI UNIVERSITY CAFE @7)</t>
        </is>
      </c>
    </row>
    <row r="17">
      <c r="A17" s="9" t="inlineStr">
        <is>
          <t>Pilot Parameter</t>
        </is>
      </c>
      <c r="B17" s="9" t="inlineStr">
        <is>
          <t>Formula / Derivation</t>
        </is>
      </c>
      <c r="C17" s="10" t="inlineStr">
        <is>
          <t>Annual Amount</t>
        </is>
      </c>
      <c r="D17" s="10" t="inlineStr">
        <is>
          <t>Unit / Metric</t>
        </is>
      </c>
      <c r="E17" s="9" t="inlineStr">
        <is>
          <t>Strategic Context</t>
        </is>
      </c>
    </row>
    <row r="18">
      <c r="A18" s="42" t="inlineStr">
        <is>
          <t>Total Campus Students</t>
        </is>
      </c>
      <c r="B18" s="11" t="inlineStr">
        <is>
          <t>Assumptions &amp; Drivers C8</t>
        </is>
      </c>
      <c r="C18" s="43">
        <f>'Assumptions &amp; Drivers'!C8</f>
        <v/>
      </c>
      <c r="D18" s="44" t="inlineStr">
        <is>
          <t>Students</t>
        </is>
      </c>
      <c r="E18" s="25" t="inlineStr">
        <is>
          <t>Sanjivani University Kopargaon</t>
        </is>
      </c>
    </row>
    <row r="19">
      <c r="A19" s="39" t="inlineStr">
        <is>
          <t>Active FoodLine Users (40%)</t>
        </is>
      </c>
      <c r="B19" s="11" t="inlineStr">
        <is>
          <t>Students * 40% Penetration</t>
        </is>
      </c>
      <c r="C19" s="12">
        <f>C18*'Assumptions &amp; Drivers'!C9</f>
        <v/>
      </c>
      <c r="D19" s="28" t="inlineStr">
        <is>
          <t>Active Users</t>
        </is>
      </c>
      <c r="E19" s="25" t="inlineStr">
        <is>
          <t>40% student penetration</t>
        </is>
      </c>
    </row>
    <row r="20">
      <c r="A20" s="39" t="inlineStr">
        <is>
          <t>Orders per Active User per Month</t>
        </is>
      </c>
      <c r="B20" s="11" t="inlineStr">
        <is>
          <t>Assumptions &amp; Drivers C10</t>
        </is>
      </c>
      <c r="C20" s="12">
        <f>'Assumptions &amp; Drivers'!C10</f>
        <v/>
      </c>
      <c r="D20" s="28" t="inlineStr">
        <is>
          <t>Orders/Mo</t>
        </is>
      </c>
      <c r="E20" s="25" t="inlineStr">
        <is>
          <t>Frequency during academic term</t>
        </is>
      </c>
    </row>
    <row r="21">
      <c r="A21" s="39" t="inlineStr">
        <is>
          <t>Monthly Campus Orders</t>
        </is>
      </c>
      <c r="B21" s="11" t="inlineStr">
        <is>
          <t>Active Users * Orders/Mo</t>
        </is>
      </c>
      <c r="C21" s="12">
        <f>C19*C20</f>
        <v/>
      </c>
      <c r="D21" s="28" t="inlineStr">
        <is>
          <t>Orders/Mo</t>
        </is>
      </c>
      <c r="E21" s="25" t="inlineStr">
        <is>
          <t>Total orders processed monthly</t>
        </is>
      </c>
    </row>
    <row r="22">
      <c r="A22" s="39" t="inlineStr">
        <is>
          <t>Academic Operating Months</t>
        </is>
      </c>
      <c r="B22" s="11" t="inlineStr">
        <is>
          <t>Assumptions &amp; Drivers C11</t>
        </is>
      </c>
      <c r="C22" s="12">
        <f>'Assumptions &amp; Drivers'!C11</f>
        <v/>
      </c>
      <c r="D22" s="28" t="inlineStr">
        <is>
          <t>Months/Yr</t>
        </is>
      </c>
      <c r="E22" s="25" t="inlineStr">
        <is>
          <t>10 operating months per academic year</t>
        </is>
      </c>
    </row>
    <row r="23">
      <c r="A23" s="42" t="inlineStr">
        <is>
          <t>Total Annual Campus Orders</t>
        </is>
      </c>
      <c r="B23" s="11" t="inlineStr">
        <is>
          <t>Monthly Orders * Operating Months</t>
        </is>
      </c>
      <c r="C23" s="43">
        <f>C21*C22</f>
        <v/>
      </c>
      <c r="D23" s="44" t="inlineStr">
        <is>
          <t>Orders/Yr</t>
        </is>
      </c>
      <c r="E23" s="25" t="inlineStr">
        <is>
          <t>50,000 to 60,000 orders/year</t>
        </is>
      </c>
    </row>
    <row r="24">
      <c r="A24" s="39" t="inlineStr">
        <is>
          <t>Average Order Value (AOV)</t>
        </is>
      </c>
      <c r="B24" s="11" t="inlineStr">
        <is>
          <t>Assumptions &amp; Drivers C15</t>
        </is>
      </c>
      <c r="C24" s="14">
        <f>'Assumptions &amp; Drivers'!C15</f>
        <v/>
      </c>
      <c r="D24" s="28" t="inlineStr">
        <is>
          <t>₹/Order</t>
        </is>
      </c>
      <c r="E24" s="25" t="inlineStr">
        <is>
          <t>Snack + Beverage combo</t>
        </is>
      </c>
    </row>
    <row r="25">
      <c r="A25" s="39" t="inlineStr">
        <is>
          <t>Annual Gross Merchandise Value (GMV)</t>
        </is>
      </c>
      <c r="B25" s="11" t="inlineStr">
        <is>
          <t>Annual Orders * AOV</t>
        </is>
      </c>
      <c r="C25" s="14">
        <f>C23*C24</f>
        <v/>
      </c>
      <c r="D25" s="28" t="inlineStr">
        <is>
          <t>₹/Year</t>
        </is>
      </c>
      <c r="E25" s="25" t="inlineStr">
        <is>
          <t>Total food GMV transacted</t>
        </is>
      </c>
    </row>
    <row r="26">
      <c r="A26" s="39" t="inlineStr">
        <is>
          <t>Merchant Commission Revenue (12%)</t>
        </is>
      </c>
      <c r="B26" s="11" t="inlineStr">
        <is>
          <t>GMV * 12% Take-Rate</t>
        </is>
      </c>
      <c r="C26" s="14">
        <f>C25*'Assumptions &amp; Drivers'!C16</f>
        <v/>
      </c>
      <c r="D26" s="28" t="inlineStr">
        <is>
          <t>₹/Year</t>
        </is>
      </c>
      <c r="E26" s="25" t="inlineStr">
        <is>
          <t>12% FoodLine marketplace take-rate</t>
        </is>
      </c>
    </row>
    <row r="27">
      <c r="A27" s="39" t="inlineStr">
        <is>
          <t>Canteen KDS SaaS Subscription (3 Canteens)</t>
        </is>
      </c>
      <c r="B27" s="11" t="inlineStr">
        <is>
          <t>3 Canteens * ₹2,500 * 10 Months</t>
        </is>
      </c>
      <c r="C27" s="14">
        <f>3*'Assumptions &amp; Drivers'!C17*C22</f>
        <v/>
      </c>
      <c r="D27" s="28" t="inlineStr">
        <is>
          <t>₹/Year</t>
        </is>
      </c>
      <c r="E27" s="25" t="inlineStr">
        <is>
          <t>3 canteens @ ₹2,500/month</t>
        </is>
      </c>
    </row>
    <row r="28">
      <c r="A28" s="42" t="inlineStr">
        <is>
          <t>Total Pilot Revenue</t>
        </is>
      </c>
      <c r="B28" s="11" t="inlineStr">
        <is>
          <t>Commission Revenue + KDS SaaS Revenue</t>
        </is>
      </c>
      <c r="C28" s="16">
        <f>C26+C27</f>
        <v/>
      </c>
      <c r="D28" s="44" t="inlineStr">
        <is>
          <t>₹/Year</t>
        </is>
      </c>
      <c r="E28" s="25" t="inlineStr">
        <is>
          <t>Gross annual revenue from pilot campus</t>
        </is>
      </c>
    </row>
    <row r="29">
      <c r="A29" s="39" t="inlineStr">
        <is>
          <t>Direct Variable COGS</t>
        </is>
      </c>
      <c r="B29" s="11" t="inlineStr">
        <is>
          <t>Annual Orders * Variable Cost/Order</t>
        </is>
      </c>
      <c r="C29" s="14">
        <f>C23*C12</f>
        <v/>
      </c>
      <c r="D29" s="28" t="inlineStr">
        <is>
          <t>₹/Year</t>
        </is>
      </c>
      <c r="E29" s="25" t="inlineStr">
        <is>
          <t>Server, SMS, gateway, ops costs</t>
        </is>
      </c>
    </row>
    <row r="30">
      <c r="A30" s="40" t="inlineStr">
        <is>
          <t>Pilot Gross Profit</t>
        </is>
      </c>
      <c r="B30" s="11" t="inlineStr">
        <is>
          <t>Total Pilot Revenue + Direct COGS</t>
        </is>
      </c>
      <c r="C30" s="19">
        <f>C28+C29</f>
        <v/>
      </c>
      <c r="D30" s="44" t="inlineStr">
        <is>
          <t>₹/Year</t>
        </is>
      </c>
      <c r="E30" s="25" t="inlineStr">
        <is>
          <t>Pilot gross margin ~75%</t>
        </is>
      </c>
    </row>
    <row r="31">
      <c r="A31" s="39" t="inlineStr">
        <is>
          <t>Campus Allocated Fixed OPEX</t>
        </is>
      </c>
      <c r="B31" s="11" t="inlineStr">
        <is>
          <t>Fixed Operations Allocation</t>
        </is>
      </c>
      <c r="C31" s="14">
        <f>180000</f>
        <v/>
      </c>
      <c r="D31" s="28" t="inlineStr">
        <is>
          <t>₹/Year</t>
        </is>
      </c>
      <c r="E31" s="25" t="inlineStr">
        <is>
          <t>Field support, marketing, tablet maintenance</t>
        </is>
      </c>
    </row>
    <row r="32">
      <c r="A32" s="40" t="inlineStr">
        <is>
          <t>Pilot Net Operating Profit</t>
        </is>
      </c>
      <c r="B32" s="11" t="inlineStr">
        <is>
          <t>Pilot Gross Profit - Fixed OPEX</t>
        </is>
      </c>
      <c r="C32" s="19">
        <f>C30-C31</f>
        <v/>
      </c>
      <c r="D32" s="44" t="inlineStr">
        <is>
          <t>₹/Year</t>
        </is>
      </c>
      <c r="E32" s="25" t="inlineStr">
        <is>
          <t>Net profit generated by single campus</t>
        </is>
      </c>
    </row>
    <row r="33">
      <c r="A33" s="37" t="inlineStr">
        <is>
          <t>Hardware Payback Period</t>
        </is>
      </c>
      <c r="B33" s="11" t="inlineStr">
        <is>
          <t>(3 KDS Tablets * ₹15,000) / Monthly Profit</t>
        </is>
      </c>
      <c r="C33" s="45">
        <f>(3*15000)/(C32/12)</f>
        <v/>
      </c>
      <c r="D33" s="28" t="inlineStr">
        <is>
          <t>Months</t>
        </is>
      </c>
      <c r="E33" s="25" t="inlineStr">
        <is>
          <t>3 KDS tablets @ ₹15,000 recovered in 4.2 mos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6" customWidth="1" min="1" max="1"/>
    <col width="38" customWidth="1" min="2" max="2"/>
    <col width="22" customWidth="1" min="3" max="3"/>
    <col width="22" customWidth="1" min="4" max="4"/>
    <col width="22" customWidth="1" min="5" max="5"/>
    <col width="54" customWidth="1" min="6" max="6"/>
  </cols>
  <sheetData>
    <row r="1" ht="36" customHeight="1">
      <c r="A1" s="1" t="inlineStr">
        <is>
          <t xml:space="preserve">  FoodLine Campus — Projected Income Statement (P&amp;L 2027–2029)</t>
        </is>
      </c>
    </row>
    <row r="2" ht="20" customHeight="1">
      <c r="A2" s="2" t="inlineStr">
        <is>
          <t xml:space="preserve">  Annual revenue, cost of goods sold, operating expenses, and net profit margins</t>
        </is>
      </c>
    </row>
    <row r="3"/>
    <row r="4">
      <c r="A4" s="9" t="inlineStr">
        <is>
          <t>Financial Line Item</t>
        </is>
      </c>
      <c r="B4" s="9" t="inlineStr">
        <is>
          <t>Formula / Reference</t>
        </is>
      </c>
      <c r="C4" s="10" t="inlineStr">
        <is>
          <t>2027 (FY 26-27)</t>
        </is>
      </c>
      <c r="D4" s="10" t="inlineStr">
        <is>
          <t>2028 (FY 27-28)</t>
        </is>
      </c>
      <c r="E4" s="10" t="inlineStr">
        <is>
          <t>2029 (FY 28-29)</t>
        </is>
      </c>
      <c r="F4" s="9" t="inlineStr">
        <is>
          <t>Notes &amp; Strategic Commentary</t>
        </is>
      </c>
    </row>
    <row r="5">
      <c r="A5" s="23" t="inlineStr">
        <is>
          <t>Annual Order Volume</t>
        </is>
      </c>
      <c r="B5" s="11" t="inlineStr">
        <is>
          <t>Campuses * Students * Pen% * Orders/Mo * Months</t>
        </is>
      </c>
      <c r="C5" s="31">
        <f>'Assumptions &amp; Drivers'!C6*'Assumptions &amp; Drivers'!C8*'Assumptions &amp; Drivers'!C9*'Assumptions &amp; Drivers'!C10*'Assumptions &amp; Drivers'!C11</f>
        <v/>
      </c>
      <c r="D5" s="31">
        <f>'Assumptions &amp; Drivers'!D6*'Assumptions &amp; Drivers'!D8*'Assumptions &amp; Drivers'!D9*'Assumptions &amp; Drivers'!D10*'Assumptions &amp; Drivers'!D11</f>
        <v/>
      </c>
      <c r="E5" s="31">
        <f>'Assumptions &amp; Drivers'!E6*'Assumptions &amp; Drivers'!E8*'Assumptions &amp; Drivers'!E9*'Assumptions &amp; Drivers'!E10*'Assumptions &amp; Drivers'!E11</f>
        <v/>
      </c>
      <c r="F5" s="25" t="inlineStr">
        <is>
          <t>Total digital food orders processed across all campuses</t>
        </is>
      </c>
    </row>
    <row r="6">
      <c r="A6" s="23" t="inlineStr">
        <is>
          <t>Gross Merchandise Value (GMV)</t>
        </is>
      </c>
      <c r="B6" s="11" t="inlineStr">
        <is>
          <t>Annual Orders * AOV</t>
        </is>
      </c>
      <c r="C6" s="46">
        <f>C5*'Assumptions &amp; Drivers'!C15</f>
        <v/>
      </c>
      <c r="D6" s="46">
        <f>D5*'Assumptions &amp; Drivers'!D15</f>
        <v/>
      </c>
      <c r="E6" s="46">
        <f>E5*'Assumptions &amp; Drivers'!E15</f>
        <v/>
      </c>
      <c r="F6" s="25" t="inlineStr">
        <is>
          <t>Total gross transaction value of food ordered</t>
        </is>
      </c>
    </row>
    <row r="7">
      <c r="A7" s="42" t="inlineStr">
        <is>
          <t>REVENUE STREAMS :</t>
        </is>
      </c>
      <c r="B7" s="11" t="inlineStr"/>
      <c r="C7" s="26" t="inlineStr"/>
      <c r="D7" s="26" t="inlineStr"/>
      <c r="E7" s="26" t="inlineStr"/>
      <c r="F7" s="25" t="inlineStr"/>
    </row>
    <row r="8">
      <c r="A8" s="39" t="inlineStr">
        <is>
          <t xml:space="preserve">  • Canteen Commission Revenue (12% Take-Rate)</t>
        </is>
      </c>
      <c r="B8" s="11" t="inlineStr">
        <is>
          <t>GMV * Take Rate</t>
        </is>
      </c>
      <c r="C8" s="14">
        <f>C6*'Assumptions &amp; Drivers'!C16</f>
        <v/>
      </c>
      <c r="D8" s="14">
        <f>D6*'Assumptions &amp; Drivers'!D16</f>
        <v/>
      </c>
      <c r="E8" s="14">
        <f>E6*'Assumptions &amp; Drivers'!E16</f>
        <v/>
      </c>
      <c r="F8" s="25" t="inlineStr">
        <is>
          <t>Direct 12% take-rate on digital canteen sales</t>
        </is>
      </c>
    </row>
    <row r="9">
      <c r="A9" s="39" t="inlineStr">
        <is>
          <t xml:space="preserve">  • KDS SaaS Tablet Subscriptions</t>
        </is>
      </c>
      <c r="B9" s="11" t="inlineStr">
        <is>
          <t>Canteens * Monthly Fee * Months</t>
        </is>
      </c>
      <c r="C9" s="14">
        <f>'Assumptions &amp; Drivers'!C7*'Assumptions &amp; Drivers'!C17*'Assumptions &amp; Drivers'!C11</f>
        <v/>
      </c>
      <c r="D9" s="14">
        <f>'Assumptions &amp; Drivers'!D7*'Assumptions &amp; Drivers'!D17*'Assumptions &amp; Drivers'!D11</f>
        <v/>
      </c>
      <c r="E9" s="14">
        <f>'Assumptions &amp; Drivers'!E7*'Assumptions &amp; Drivers'!E17*'Assumptions &amp; Drivers'!E11</f>
        <v/>
      </c>
      <c r="F9" s="25" t="inlineStr">
        <is>
          <t>₹2,500/month kitchen display terminal subscription</t>
        </is>
      </c>
    </row>
    <row r="10">
      <c r="A10" s="39" t="inlineStr">
        <is>
          <t xml:space="preserve">  • Student Convenience Fees</t>
        </is>
      </c>
      <c r="B10" s="11" t="inlineStr">
        <is>
          <t>Orders * Student Fee</t>
        </is>
      </c>
      <c r="C10" s="14">
        <f>C5*'Assumptions &amp; Drivers'!C18</f>
        <v/>
      </c>
      <c r="D10" s="14">
        <f>D5*'Assumptions &amp; Drivers'!D18</f>
        <v/>
      </c>
      <c r="E10" s="14">
        <f>E5*'Assumptions &amp; Drivers'!E18</f>
        <v/>
      </c>
      <c r="F10" s="25" t="inlineStr">
        <is>
          <t>Zero fee charged to students (100% Free student app)</t>
        </is>
      </c>
    </row>
    <row r="11">
      <c r="A11" s="39" t="inlineStr">
        <is>
          <t xml:space="preserve">  • Special Event / Fest Catering Fees</t>
        </is>
      </c>
      <c r="B11" s="11" t="inlineStr">
        <is>
          <t>Estimated Institutional Fees</t>
        </is>
      </c>
      <c r="C11" s="14">
        <f>150000</f>
        <v/>
      </c>
      <c r="D11" s="14">
        <f>800000</f>
        <v/>
      </c>
      <c r="E11" s="14">
        <f>3000000</f>
        <v/>
      </c>
      <c r="F11" s="25" t="inlineStr">
        <is>
          <t>College festivals, sports fests &amp; conference catering</t>
        </is>
      </c>
    </row>
    <row r="12">
      <c r="A12" s="37" t="inlineStr">
        <is>
          <t>TOTAL GROSS REVENUE</t>
        </is>
      </c>
      <c r="B12" s="11">
        <f>SUM(Revenue Streams)</f>
        <v/>
      </c>
      <c r="C12" s="18">
        <f>SUM(C8:C11)</f>
        <v/>
      </c>
      <c r="D12" s="18">
        <f>SUM(D8:D11)</f>
        <v/>
      </c>
      <c r="E12" s="18">
        <f>SUM(E8:E11)</f>
        <v/>
      </c>
      <c r="F12" s="25" t="inlineStr">
        <is>
          <t>Gross platform receipts (Excludes canteen food share)</t>
        </is>
      </c>
    </row>
    <row r="13">
      <c r="A13" s="39" t="inlineStr">
        <is>
          <t>Cost of Goods Sold (COGS - Variable Delivery)</t>
        </is>
      </c>
      <c r="B13" s="11" t="inlineStr">
        <is>
          <t>Orders * Variable Cost/Order</t>
        </is>
      </c>
      <c r="C13" s="14">
        <f>C5*'Assumptions &amp; Drivers'!C26</f>
        <v/>
      </c>
      <c r="D13" s="14">
        <f>D5*'Assumptions &amp; Drivers'!D26</f>
        <v/>
      </c>
      <c r="E13" s="14">
        <f>E5*'Assumptions &amp; Drivers'!E26</f>
        <v/>
      </c>
      <c r="F13" s="25" t="inlineStr">
        <is>
          <t>Cloud DB, SMS OTP, payment gateway &amp; student ops</t>
        </is>
      </c>
    </row>
    <row r="14">
      <c r="A14" s="23" t="inlineStr">
        <is>
          <t>GROSS PROFIT</t>
        </is>
      </c>
      <c r="B14" s="11" t="inlineStr">
        <is>
          <t>Total Revenue - COGS</t>
        </is>
      </c>
      <c r="C14" s="46">
        <f>C12-C13</f>
        <v/>
      </c>
      <c r="D14" s="46">
        <f>D12-D13</f>
        <v/>
      </c>
      <c r="E14" s="46">
        <f>E12-E13</f>
        <v/>
      </c>
      <c r="F14" s="25" t="inlineStr">
        <is>
          <t>High operating margin software model</t>
        </is>
      </c>
    </row>
    <row r="15">
      <c r="A15" s="23" t="inlineStr">
        <is>
          <t>Gross Profit Margin %</t>
        </is>
      </c>
      <c r="B15" s="11" t="inlineStr">
        <is>
          <t>Gross Profit / Total Revenue</t>
        </is>
      </c>
      <c r="C15" s="36">
        <f>C14/C12</f>
        <v/>
      </c>
      <c r="D15" s="36">
        <f>D14/D12</f>
        <v/>
      </c>
      <c r="E15" s="36">
        <f>E14/E12</f>
        <v/>
      </c>
      <c r="F15" s="25" t="inlineStr">
        <is>
          <t>Gross margin expands with server optimization</t>
        </is>
      </c>
    </row>
    <row r="16">
      <c r="A16" s="42" t="inlineStr">
        <is>
          <t>OPERATING EXPENSES (OPEX) :</t>
        </is>
      </c>
      <c r="B16" s="11" t="inlineStr"/>
      <c r="C16" s="26" t="inlineStr"/>
      <c r="D16" s="26" t="inlineStr"/>
      <c r="E16" s="26" t="inlineStr"/>
      <c r="F16" s="25" t="inlineStr"/>
    </row>
    <row r="17">
      <c r="A17" s="39" t="inlineStr">
        <is>
          <t xml:space="preserve">  • Cloud Hosting &amp; Gateway APIs</t>
        </is>
      </c>
      <c r="B17" s="11">
        <f>'Assumptions &amp; Drivers'!C31</f>
        <v/>
      </c>
      <c r="C17" s="14">
        <f>'Assumptions &amp; Drivers'!C31</f>
        <v/>
      </c>
      <c r="D17" s="14">
        <f>'Assumptions &amp; Drivers'!D31</f>
        <v/>
      </c>
      <c r="E17" s="14">
        <f>'Assumptions &amp; Drivers'!E31</f>
        <v/>
      </c>
      <c r="F17" s="25" t="inlineStr">
        <is>
          <t>AWS infrastructure, Supabase, SMS &amp; WhatsApp APIs</t>
        </is>
      </c>
    </row>
    <row r="18">
      <c r="A18" s="39" t="inlineStr">
        <is>
          <t xml:space="preserve">  • Operational &amp; Field Salaries</t>
        </is>
      </c>
      <c r="B18" s="11">
        <f>'Assumptions &amp; Drivers'!C32</f>
        <v/>
      </c>
      <c r="C18" s="14">
        <f>'Assumptions &amp; Drivers'!C32</f>
        <v/>
      </c>
      <c r="D18" s="14">
        <f>'Assumptions &amp; Drivers'!D32</f>
        <v/>
      </c>
      <c r="E18" s="14">
        <f>'Assumptions &amp; Drivers'!E32</f>
        <v/>
      </c>
      <c r="F18" s="25" t="inlineStr">
        <is>
          <t>Core engineering, city heads &amp; campus coordinators</t>
        </is>
      </c>
    </row>
    <row r="19">
      <c r="A19" s="39" t="inlineStr">
        <is>
          <t xml:space="preserve">  • Marketing &amp; Campus Activation</t>
        </is>
      </c>
      <c r="B19" s="11">
        <f>'Assumptions &amp; Drivers'!C33</f>
        <v/>
      </c>
      <c r="C19" s="14">
        <f>'Assumptions &amp; Drivers'!C33</f>
        <v/>
      </c>
      <c r="D19" s="14">
        <f>'Assumptions &amp; Drivers'!D33</f>
        <v/>
      </c>
      <c r="E19" s="14">
        <f>'Assumptions &amp; Drivers'!E33</f>
        <v/>
      </c>
      <c r="F19" s="25" t="inlineStr">
        <is>
          <t>Table QR stands, orientation campaigns &amp; student kits</t>
        </is>
      </c>
    </row>
    <row r="20">
      <c r="A20" s="39" t="inlineStr">
        <is>
          <t xml:space="preserve">  • Canteen Hardware Maintenance &amp; Tech</t>
        </is>
      </c>
      <c r="B20" s="11">
        <f>'Assumptions &amp; Drivers'!C34</f>
        <v/>
      </c>
      <c r="C20" s="14">
        <f>'Assumptions &amp; Drivers'!C34</f>
        <v/>
      </c>
      <c r="D20" s="14">
        <f>'Assumptions &amp; Drivers'!D34</f>
        <v/>
      </c>
      <c r="E20" s="14">
        <f>'Assumptions &amp; Drivers'!E34</f>
        <v/>
      </c>
      <c r="F20" s="25" t="inlineStr">
        <is>
          <t>Tablet spares, thermal receipt rolls &amp; replacement</t>
        </is>
      </c>
    </row>
    <row r="21">
      <c r="A21" s="39" t="inlineStr">
        <is>
          <t xml:space="preserve">  • Legal, Admin &amp; Contingency</t>
        </is>
      </c>
      <c r="B21" s="11">
        <f>'Assumptions &amp; Drivers'!C35</f>
        <v/>
      </c>
      <c r="C21" s="14">
        <f>'Assumptions &amp; Drivers'!C35</f>
        <v/>
      </c>
      <c r="D21" s="14">
        <f>'Assumptions &amp; Drivers'!D35</f>
        <v/>
      </c>
      <c r="E21" s="14">
        <f>'Assumptions &amp; Drivers'!E35</f>
        <v/>
      </c>
      <c r="F21" s="25" t="inlineStr">
        <is>
          <t>Company secretarial, audit, licenses &amp; legal</t>
        </is>
      </c>
    </row>
    <row r="22">
      <c r="A22" s="39" t="inlineStr">
        <is>
          <t xml:space="preserve">  • Hardware Depreciation</t>
        </is>
      </c>
      <c r="B22" s="11">
        <f>'Assumptions &amp; Drivers'!C36</f>
        <v/>
      </c>
      <c r="C22" s="14">
        <f>'Assumptions &amp; Drivers'!C36</f>
        <v/>
      </c>
      <c r="D22" s="14">
        <f>'Assumptions &amp; Drivers'!D36</f>
        <v/>
      </c>
      <c r="E22" s="14">
        <f>'Assumptions &amp; Drivers'!E36</f>
        <v/>
      </c>
      <c r="F22" s="25" t="inlineStr">
        <is>
          <t>Straight-line depreciation over 3-year tablet life</t>
        </is>
      </c>
    </row>
    <row r="23">
      <c r="A23" s="23" t="inlineStr">
        <is>
          <t>TOTAL OPERATING EXPENSES</t>
        </is>
      </c>
      <c r="B23" s="11">
        <f>SUM(OPEX Rows)</f>
        <v/>
      </c>
      <c r="C23" s="46">
        <f>SUM(C17:C22)</f>
        <v/>
      </c>
      <c r="D23" s="46">
        <f>SUM(D17:D22)</f>
        <v/>
      </c>
      <c r="E23" s="46">
        <f>SUM(E17:E22)</f>
        <v/>
      </c>
      <c r="F23" s="25" t="inlineStr">
        <is>
          <t>Total operating expenses including depreciation</t>
        </is>
      </c>
    </row>
    <row r="24">
      <c r="A24" s="47" t="inlineStr">
        <is>
          <t>OPERATING PROFIT (EBITDA)</t>
        </is>
      </c>
      <c r="B24" s="11" t="inlineStr">
        <is>
          <t>Gross Profit - (OPEX - Depr)</t>
        </is>
      </c>
      <c r="C24" s="48">
        <f>C14-(C23-C22)</f>
        <v/>
      </c>
      <c r="D24" s="48">
        <f>D14-(D23-D22)</f>
        <v/>
      </c>
      <c r="E24" s="48">
        <f>E14-(E23-E22)</f>
        <v/>
      </c>
      <c r="F24" s="25" t="inlineStr">
        <is>
          <t>EBITDA positive from Year 2 onwards</t>
        </is>
      </c>
    </row>
    <row r="25">
      <c r="A25" s="40" t="inlineStr">
        <is>
          <t>NET PROFIT / (LOSS) BEFORE TAX</t>
        </is>
      </c>
      <c r="B25" s="11" t="inlineStr">
        <is>
          <t>Gross Profit - Total OPEX</t>
        </is>
      </c>
      <c r="C25" s="19">
        <f>C14-C23</f>
        <v/>
      </c>
      <c r="D25" s="19">
        <f>D14-D23</f>
        <v/>
      </c>
      <c r="E25" s="19">
        <f>E14-E23</f>
        <v/>
      </c>
      <c r="F25" s="25" t="inlineStr">
        <is>
          <t>Year 1 pilot investment, high profitability Y2 &amp; Y3</t>
        </is>
      </c>
    </row>
    <row r="26">
      <c r="A26" s="40" t="inlineStr">
        <is>
          <t>Net Profit Margin %</t>
        </is>
      </c>
      <c r="B26" s="11" t="inlineStr">
        <is>
          <t>Net Profit / Total Revenue</t>
        </is>
      </c>
      <c r="C26" s="22">
        <f>C25/C12</f>
        <v/>
      </c>
      <c r="D26" s="22">
        <f>D25/D12</f>
        <v/>
      </c>
      <c r="E26" s="22">
        <f>E25/E12</f>
        <v/>
      </c>
      <c r="F26" s="25" t="inlineStr">
        <is>
          <t>Reaches 26.4% to 30.4% net margin at scale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6" customWidth="1" min="1" max="1"/>
    <col width="38" customWidth="1" min="2" max="2"/>
    <col width="22" customWidth="1" min="3" max="3"/>
    <col width="22" customWidth="1" min="4" max="4"/>
    <col width="22" customWidth="1" min="5" max="5"/>
    <col width="54" customWidth="1" min="6" max="6"/>
  </cols>
  <sheetData>
    <row r="1" ht="36" customHeight="1">
      <c r="A1" s="1" t="inlineStr">
        <is>
          <t xml:space="preserve">  FoodLine Campus — Projected Cash Flow Statement (2027–2029)</t>
        </is>
      </c>
    </row>
    <row r="2" ht="20" customHeight="1">
      <c r="A2" s="2" t="inlineStr">
        <is>
          <t xml:space="preserve">  Annual cash inflows, capital expenditure, operational outflows, and liquidity reserves</t>
        </is>
      </c>
    </row>
    <row r="3"/>
    <row r="4">
      <c r="A4" s="9" t="inlineStr">
        <is>
          <t>Cash Flow Line Item</t>
        </is>
      </c>
      <c r="B4" s="9" t="inlineStr">
        <is>
          <t>Driver / Reference</t>
        </is>
      </c>
      <c r="C4" s="10" t="inlineStr">
        <is>
          <t>2027 (FY 26-27)</t>
        </is>
      </c>
      <c r="D4" s="10" t="inlineStr">
        <is>
          <t>2028 (FY 27-28)</t>
        </is>
      </c>
      <c r="E4" s="10" t="inlineStr">
        <is>
          <t>2029 (FY 28-29)</t>
        </is>
      </c>
      <c r="F4" s="9" t="inlineStr">
        <is>
          <t>Liquidity &amp; Runway Notes</t>
        </is>
      </c>
    </row>
    <row r="5">
      <c r="A5" s="42" t="inlineStr">
        <is>
          <t>CASH INFLOWS :</t>
        </is>
      </c>
      <c r="B5" s="11" t="inlineStr"/>
      <c r="C5" s="26" t="inlineStr"/>
      <c r="D5" s="26" t="inlineStr"/>
      <c r="E5" s="26" t="inlineStr"/>
      <c r="F5" s="25" t="inlineStr"/>
    </row>
    <row r="6">
      <c r="A6" s="39" t="inlineStr">
        <is>
          <t xml:space="preserve">  • Owner / Founder Investment</t>
        </is>
      </c>
      <c r="B6" s="11">
        <f>'Assumptions &amp; Drivers'!C41</f>
        <v/>
      </c>
      <c r="C6" s="14">
        <f>'Assumptions &amp; Drivers'!C41</f>
        <v/>
      </c>
      <c r="D6" s="14">
        <f>'Assumptions &amp; Drivers'!D41</f>
        <v/>
      </c>
      <c r="E6" s="14">
        <f>'Assumptions &amp; Drivers'!E41</f>
        <v/>
      </c>
      <c r="F6" s="25" t="inlineStr">
        <is>
          <t>Founding team bootstrap equity</t>
        </is>
      </c>
    </row>
    <row r="7">
      <c r="A7" s="39" t="inlineStr">
        <is>
          <t xml:space="preserve">  • Seed Capital / Incubation Grant Received</t>
        </is>
      </c>
      <c r="B7" s="11">
        <f>'Assumptions &amp; Drivers'!C42</f>
        <v/>
      </c>
      <c r="C7" s="14">
        <f>'Assumptions &amp; Drivers'!C42</f>
        <v/>
      </c>
      <c r="D7" s="14">
        <f>'Assumptions &amp; Drivers'!D42</f>
        <v/>
      </c>
      <c r="E7" s="14">
        <f>'Assumptions &amp; Drivers'!E42</f>
        <v/>
      </c>
      <c r="F7" s="25" t="inlineStr">
        <is>
          <t>SCILL incubation grant + Seed round</t>
        </is>
      </c>
    </row>
    <row r="8">
      <c r="A8" s="39" t="inlineStr">
        <is>
          <t xml:space="preserve">  • Operating Canteen Commission Revenue</t>
        </is>
      </c>
      <c r="B8" s="11">
        <f>'Income Statement (P&amp;L)'!C8</f>
        <v/>
      </c>
      <c r="C8" s="14">
        <f>'Income Statement (P&amp;L)'!C8</f>
        <v/>
      </c>
      <c r="D8" s="14">
        <f>'Income Statement (P&amp;L)'!D8</f>
        <v/>
      </c>
      <c r="E8" s="14">
        <f>'Income Statement (P&amp;L)'!E8</f>
        <v/>
      </c>
      <c r="F8" s="25" t="inlineStr">
        <is>
          <t>Cash received from 12% food commissions</t>
        </is>
      </c>
    </row>
    <row r="9">
      <c r="A9" s="39" t="inlineStr">
        <is>
          <t xml:space="preserve">  • KDS SaaS Subscriptions &amp; Event Fees</t>
        </is>
      </c>
      <c r="B9" s="11">
        <f>'Income Statement (P&amp;L)'!C9+'Income Statement (P&amp;L)'!C11</f>
        <v/>
      </c>
      <c r="C9" s="14">
        <f>'Income Statement (P&amp;L)'!C9+'Income Statement (P&amp;L)'!C11</f>
        <v/>
      </c>
      <c r="D9" s="14">
        <f>'Income Statement (P&amp;L)'!D9+'Income Statement (P&amp;L)'!D11</f>
        <v/>
      </c>
      <c r="E9" s="14">
        <f>'Income Statement (P&amp;L)'!E9+'Income Statement (P&amp;L)'!E11</f>
        <v/>
      </c>
      <c r="F9" s="25" t="inlineStr">
        <is>
          <t>Hardware lease fees &amp; campus event fees</t>
        </is>
      </c>
    </row>
    <row r="10">
      <c r="A10" s="40" t="inlineStr">
        <is>
          <t>TOTAL CASH INFLOWS</t>
        </is>
      </c>
      <c r="B10" s="11">
        <f>SUM(Inflow Rows)</f>
        <v/>
      </c>
      <c r="C10" s="19">
        <f>SUM(C6:C9)</f>
        <v/>
      </c>
      <c r="D10" s="19">
        <f>SUM(D6:D9)</f>
        <v/>
      </c>
      <c r="E10" s="19">
        <f>SUM(E6:E9)</f>
        <v/>
      </c>
      <c r="F10" s="25" t="inlineStr">
        <is>
          <t>Total gross liquid cash received</t>
        </is>
      </c>
    </row>
    <row r="11">
      <c r="A11" s="42" t="inlineStr">
        <is>
          <t>CASH OUTFLOWS :</t>
        </is>
      </c>
      <c r="B11" s="11" t="inlineStr"/>
      <c r="C11" s="26" t="inlineStr"/>
      <c r="D11" s="26" t="inlineStr"/>
      <c r="E11" s="26" t="inlineStr"/>
      <c r="F11" s="25" t="inlineStr"/>
    </row>
    <row r="12">
      <c r="A12" s="39" t="inlineStr">
        <is>
          <t xml:space="preserve">  • Platform Setup &amp; AI Slot Engine Dev</t>
        </is>
      </c>
      <c r="B12" s="11" t="inlineStr">
        <is>
          <t>Slide 13 Budget</t>
        </is>
      </c>
      <c r="C12" s="14">
        <f>500000</f>
        <v/>
      </c>
      <c r="D12" s="14">
        <f>1200000</f>
        <v/>
      </c>
      <c r="E12" s="14">
        <f>3500000</f>
        <v/>
      </c>
      <c r="F12" s="25" t="inlineStr">
        <is>
          <t>Core software development &amp; slot throttling IP</t>
        </is>
      </c>
    </row>
    <row r="13">
      <c r="A13" s="39" t="inlineStr">
        <is>
          <t xml:space="preserve">  • KDS Tablet Hardware &amp; Printers</t>
        </is>
      </c>
      <c r="B13" s="11" t="inlineStr">
        <is>
          <t>Hardware CapEx</t>
        </is>
      </c>
      <c r="C13" s="14">
        <f>600000</f>
        <v/>
      </c>
      <c r="D13" s="14">
        <f>2200000</f>
        <v/>
      </c>
      <c r="E13" s="14">
        <f>7500000</f>
        <v/>
      </c>
      <c r="F13" s="25" t="inlineStr">
        <is>
          <t>Tablet procurement (45 -&gt; 225 -&gt; 1,000 units)</t>
        </is>
      </c>
    </row>
    <row r="14">
      <c r="A14" s="39" t="inlineStr">
        <is>
          <t xml:space="preserve">  • Staff &amp; Operational Salaries</t>
        </is>
      </c>
      <c r="B14" s="11">
        <f>'Assumptions &amp; Drivers'!C32</f>
        <v/>
      </c>
      <c r="C14" s="14">
        <f>'Assumptions &amp; Drivers'!C32</f>
        <v/>
      </c>
      <c r="D14" s="14">
        <f>'Assumptions &amp; Drivers'!D32</f>
        <v/>
      </c>
      <c r="E14" s="14">
        <f>'Assumptions &amp; Drivers'!E32</f>
        <v/>
      </c>
      <c r="F14" s="25" t="inlineStr">
        <is>
          <t>Engineering, sales &amp; campus operations teams</t>
        </is>
      </c>
    </row>
    <row r="15">
      <c r="A15" s="39" t="inlineStr">
        <is>
          <t xml:space="preserve">  • Marketing &amp; Campus Activation</t>
        </is>
      </c>
      <c r="B15" s="11">
        <f>'Assumptions &amp; Drivers'!C33</f>
        <v/>
      </c>
      <c r="C15" s="14">
        <f>'Assumptions &amp; Drivers'!C33</f>
        <v/>
      </c>
      <c r="D15" s="14">
        <f>'Assumptions &amp; Drivers'!D33</f>
        <v/>
      </c>
      <c r="E15" s="14">
        <f>'Assumptions &amp; Drivers'!E33</f>
        <v/>
      </c>
      <c r="F15" s="25" t="inlineStr">
        <is>
          <t>Orientation blitz, QR stands &amp; ambassador rewards</t>
        </is>
      </c>
    </row>
    <row r="16">
      <c r="A16" s="39" t="inlineStr">
        <is>
          <t xml:space="preserve">  • Cloud Hosting &amp; WhatsApp Gateway APIs</t>
        </is>
      </c>
      <c r="B16" s="11">
        <f>'Assumptions &amp; Drivers'!C31</f>
        <v/>
      </c>
      <c r="C16" s="14">
        <f>'Assumptions &amp; Drivers'!C31</f>
        <v/>
      </c>
      <c r="D16" s="14">
        <f>'Assumptions &amp; Drivers'!D31</f>
        <v/>
      </c>
      <c r="E16" s="14">
        <f>'Assumptions &amp; Drivers'!E31</f>
        <v/>
      </c>
      <c r="F16" s="25" t="inlineStr">
        <is>
          <t>AWS server hosting, SMS OTP &amp; WhatsApp APIs</t>
        </is>
      </c>
    </row>
    <row r="17">
      <c r="A17" s="39" t="inlineStr">
        <is>
          <t xml:space="preserve">  • Administrative, Legal &amp; Travel</t>
        </is>
      </c>
      <c r="B17" s="11">
        <f>'Assumptions &amp; Drivers'!C35</f>
        <v/>
      </c>
      <c r="C17" s="14">
        <f>'Assumptions &amp; Drivers'!C35</f>
        <v/>
      </c>
      <c r="D17" s="14">
        <f>'Assumptions &amp; Drivers'!D35</f>
        <v/>
      </c>
      <c r="E17" s="14">
        <f>'Assumptions &amp; Drivers'!E35</f>
        <v/>
      </c>
      <c r="F17" s="25" t="inlineStr">
        <is>
          <t>Corporate secretarial, audit &amp; field travel</t>
        </is>
      </c>
    </row>
    <row r="18">
      <c r="A18" s="37" t="inlineStr">
        <is>
          <t>TOTAL CASH OUTFLOWS</t>
        </is>
      </c>
      <c r="B18" s="11">
        <f>SUM(Outflow Rows)</f>
        <v/>
      </c>
      <c r="C18" s="18">
        <f>SUM(C12:C17)</f>
        <v/>
      </c>
      <c r="D18" s="18">
        <f>SUM(D12:D17)</f>
        <v/>
      </c>
      <c r="E18" s="18">
        <f>SUM(E12:E17)</f>
        <v/>
      </c>
      <c r="F18" s="25" t="inlineStr">
        <is>
          <t>Total operational and capital disbursements</t>
        </is>
      </c>
    </row>
    <row r="19">
      <c r="A19" s="40" t="inlineStr">
        <is>
          <t>NET CASH FLOW (INFLOWS - OUTFLOWS)</t>
        </is>
      </c>
      <c r="B19" s="11" t="inlineStr">
        <is>
          <t>Total Inflows - Total Outflows</t>
        </is>
      </c>
      <c r="C19" s="19">
        <f>C10-C18</f>
        <v/>
      </c>
      <c r="D19" s="19">
        <f>D10-D18</f>
        <v/>
      </c>
      <c r="E19" s="19">
        <f>E10-E18</f>
        <v/>
      </c>
      <c r="F19" s="25" t="inlineStr">
        <is>
          <t>Consistently cash-positive across all 3 years</t>
        </is>
      </c>
    </row>
    <row r="20">
      <c r="A20" s="39" t="inlineStr">
        <is>
          <t>Beginning Cash Balance</t>
        </is>
      </c>
      <c r="B20" s="11" t="inlineStr">
        <is>
          <t>Prior Year Ending Cash</t>
        </is>
      </c>
      <c r="C20" s="14">
        <f>0</f>
        <v/>
      </c>
      <c r="D20" s="14">
        <f>C21</f>
        <v/>
      </c>
      <c r="E20" s="14">
        <f>D21</f>
        <v/>
      </c>
      <c r="F20" s="25" t="inlineStr">
        <is>
          <t>Opening liquid bank balance</t>
        </is>
      </c>
    </row>
    <row r="21">
      <c r="A21" s="47" t="inlineStr">
        <is>
          <t>ENDING CASH BALANCE (WAR CHEST)</t>
        </is>
      </c>
      <c r="B21" s="11" t="inlineStr">
        <is>
          <t>Beginning Cash + Net Cash Flow</t>
        </is>
      </c>
      <c r="C21" s="48">
        <f>C19+C20</f>
        <v/>
      </c>
      <c r="D21" s="48">
        <f>D19+D20</f>
        <v/>
      </c>
      <c r="E21" s="48">
        <f>E19+E20</f>
        <v/>
      </c>
      <c r="F21" s="25" t="inlineStr">
        <is>
          <t>Liquid reserves held in company bank accounts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6" customWidth="1" min="1" max="1"/>
    <col width="38" customWidth="1" min="2" max="2"/>
    <col width="22" customWidth="1" min="3" max="3"/>
    <col width="22" customWidth="1" min="4" max="4"/>
    <col width="22" customWidth="1" min="5" max="5"/>
    <col width="54" customWidth="1" min="6" max="6"/>
  </cols>
  <sheetData>
    <row r="1" ht="36" customHeight="1">
      <c r="A1" s="1" t="inlineStr">
        <is>
          <t xml:space="preserve">  FoodLine Campus — Projected Balance Sheet (2027–2029)</t>
        </is>
      </c>
    </row>
    <row r="2" ht="20" customHeight="1">
      <c r="A2" s="2" t="inlineStr">
        <is>
          <t xml:space="preserve">  Asset backing, capital structure, retained earnings, and solvency verification</t>
        </is>
      </c>
    </row>
    <row r="3"/>
    <row r="4">
      <c r="A4" s="9" t="inlineStr">
        <is>
          <t>Balance Sheet Particulars</t>
        </is>
      </c>
      <c r="B4" s="9" t="inlineStr">
        <is>
          <t>Driver / Basis</t>
        </is>
      </c>
      <c r="C4" s="10" t="inlineStr">
        <is>
          <t>2027 (FY 26-27)</t>
        </is>
      </c>
      <c r="D4" s="10" t="inlineStr">
        <is>
          <t>2028 (FY 27-28)</t>
        </is>
      </c>
      <c r="E4" s="10" t="inlineStr">
        <is>
          <t>2029 (FY 28-29)</t>
        </is>
      </c>
      <c r="F4" s="9" t="inlineStr">
        <is>
          <t>Audit &amp; Balance Notes</t>
        </is>
      </c>
    </row>
    <row r="5">
      <c r="A5" s="42" t="inlineStr">
        <is>
          <t>ASSETS :</t>
        </is>
      </c>
      <c r="B5" s="11" t="inlineStr"/>
      <c r="C5" s="26" t="inlineStr"/>
      <c r="D5" s="26" t="inlineStr"/>
      <c r="E5" s="26" t="inlineStr"/>
      <c r="F5" s="25" t="inlineStr"/>
    </row>
    <row r="6">
      <c r="A6" s="39" t="inlineStr">
        <is>
          <t xml:space="preserve">  • Cash &amp; Bank Balance</t>
        </is>
      </c>
      <c r="B6" s="11">
        <f>'Cash Flow Statement'!C21</f>
        <v/>
      </c>
      <c r="C6" s="14">
        <f>'Cash Flow Statement'!C21</f>
        <v/>
      </c>
      <c r="D6" s="14">
        <f>'Cash Flow Statement'!D21</f>
        <v/>
      </c>
      <c r="E6" s="14">
        <f>'Cash Flow Statement'!E21</f>
        <v/>
      </c>
      <c r="F6" s="25" t="inlineStr">
        <is>
          <t>Liquid treasury reserves (Linked to Cash Flow)</t>
        </is>
      </c>
    </row>
    <row r="7">
      <c r="A7" s="39" t="inlineStr">
        <is>
          <t xml:space="preserve">  • Equipment &amp; KDS Tablets (Net Book Value)</t>
        </is>
      </c>
      <c r="B7" s="11" t="inlineStr">
        <is>
          <t>Gross Hardware less Depreciation</t>
        </is>
      </c>
      <c r="C7" s="14">
        <f>450000</f>
        <v/>
      </c>
      <c r="D7" s="14">
        <f>1800000</f>
        <v/>
      </c>
      <c r="E7" s="14">
        <f>6500000</f>
        <v/>
      </c>
      <c r="F7" s="25" t="inlineStr">
        <is>
          <t>Touchscreen kitchen terminals &amp; thermal printers</t>
        </is>
      </c>
    </row>
    <row r="8">
      <c r="A8" s="39" t="inlineStr">
        <is>
          <t xml:space="preserve">  • Inventory &amp; Kiosk Spares</t>
        </is>
      </c>
      <c r="B8" s="11" t="inlineStr">
        <is>
          <t>Hardware &amp; Counter Spares</t>
        </is>
      </c>
      <c r="C8" s="14">
        <f>110000</f>
        <v/>
      </c>
      <c r="D8" s="14">
        <f>450000</f>
        <v/>
      </c>
      <c r="E8" s="14">
        <f>1800000</f>
        <v/>
      </c>
      <c r="F8" s="25" t="inlineStr">
        <is>
          <t>Replacement screens, chargers, cables &amp; paper rolls</t>
        </is>
      </c>
    </row>
    <row r="9">
      <c r="A9" s="40" t="inlineStr">
        <is>
          <t>TOTAL ASSETS</t>
        </is>
      </c>
      <c r="B9" s="11">
        <f>SUM(Asset Rows)</f>
        <v/>
      </c>
      <c r="C9" s="19">
        <f>SUM(C6:C8)</f>
        <v/>
      </c>
      <c r="D9" s="19">
        <f>SUM(D6:D8)</f>
        <v/>
      </c>
      <c r="E9" s="19">
        <f>SUM(E6:E8)</f>
        <v/>
      </c>
      <c r="F9" s="25" t="inlineStr">
        <is>
          <t>Total corporate economic assets</t>
        </is>
      </c>
    </row>
    <row r="10">
      <c r="A10" s="42" t="inlineStr">
        <is>
          <t>LIABILITIES &amp; SHAREHOLDERS' EQUITY :</t>
        </is>
      </c>
      <c r="B10" s="11" t="inlineStr"/>
      <c r="C10" s="26" t="inlineStr"/>
      <c r="D10" s="26" t="inlineStr"/>
      <c r="E10" s="26" t="inlineStr"/>
      <c r="F10" s="25" t="inlineStr"/>
    </row>
    <row r="11">
      <c r="A11" s="39" t="inlineStr">
        <is>
          <t xml:space="preserve">  • Owners' Equity (Founder Investment)</t>
        </is>
      </c>
      <c r="B11" s="11" t="inlineStr">
        <is>
          <t>Paid-Up Share Capital</t>
        </is>
      </c>
      <c r="C11" s="14">
        <f>2000000</f>
        <v/>
      </c>
      <c r="D11" s="14">
        <f>2000000</f>
        <v/>
      </c>
      <c r="E11" s="14">
        <f>2000000</f>
        <v/>
      </c>
      <c r="F11" s="25" t="inlineStr">
        <is>
          <t>Founders equity commitment (Unchanged)</t>
        </is>
      </c>
    </row>
    <row r="12">
      <c r="A12" s="39" t="inlineStr">
        <is>
          <t xml:space="preserve">  • Retained Earnings / Reserves</t>
        </is>
      </c>
      <c r="B12" s="11" t="inlineStr">
        <is>
          <t>Cumulative Retained Profits</t>
        </is>
      </c>
      <c r="C12" s="14">
        <f>'Income Statement (P&amp;L)'!C25</f>
        <v/>
      </c>
      <c r="D12" s="14">
        <f>C12+'Income Statement (P&amp;L)'!D25</f>
        <v/>
      </c>
      <c r="E12" s="14">
        <f>D12+'Income Statement (P&amp;L)'!E25</f>
        <v/>
      </c>
      <c r="F12" s="25" t="inlineStr">
        <is>
          <t>Accumulated operational surplus reinvested</t>
        </is>
      </c>
    </row>
    <row r="13">
      <c r="A13" s="39" t="inlineStr">
        <is>
          <t xml:space="preserve">  • Bank Loan / Angel Capital (Debt)</t>
        </is>
      </c>
      <c r="B13" s="11" t="inlineStr">
        <is>
          <t>Long-Term Borrowings</t>
        </is>
      </c>
      <c r="C13" s="14">
        <f>250000</f>
        <v/>
      </c>
      <c r="D13" s="14">
        <f>1250000</f>
        <v/>
      </c>
      <c r="E13" s="14">
        <f>3000000</f>
        <v/>
      </c>
      <c r="F13" s="25" t="inlineStr">
        <is>
          <t>Low-interest institutional debt / incubator loan</t>
        </is>
      </c>
    </row>
    <row r="14">
      <c r="A14" s="47" t="inlineStr">
        <is>
          <t>TOTAL LIABILITIES &amp; EQUITY</t>
        </is>
      </c>
      <c r="B14" s="11">
        <f>SUM(Liab &amp; Equity Rows)</f>
        <v/>
      </c>
      <c r="C14" s="48">
        <f>SUM(C11:C13)</f>
        <v/>
      </c>
      <c r="D14" s="48">
        <f>SUM(D11:D13)</f>
        <v/>
      </c>
      <c r="E14" s="48">
        <f>SUM(E11:E13)</f>
        <v/>
      </c>
      <c r="F14" s="25" t="inlineStr">
        <is>
          <t>Total capital claims and net worth</t>
        </is>
      </c>
    </row>
    <row r="15">
      <c r="A15" s="23" t="inlineStr">
        <is>
          <t>BALANCE CHECK (ASSETS - LIABILITIES)</t>
        </is>
      </c>
      <c r="B15" s="11">
        <f>Total Assets - Total Liab &amp; Equity</f>
        <v/>
      </c>
      <c r="C15" s="46">
        <f>C9-C14</f>
        <v/>
      </c>
      <c r="D15" s="46">
        <f>D9-D14</f>
        <v/>
      </c>
      <c r="E15" s="46">
        <f>E9-E14</f>
        <v/>
      </c>
      <c r="F15" s="25" t="inlineStr">
        <is>
          <t>Audit check: Must equal ₹0 (Perfect Balance)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4" customWidth="1" min="1" max="1"/>
    <col width="34" customWidth="1" min="2" max="2"/>
    <col width="20" customWidth="1" min="3" max="3"/>
    <col width="16" customWidth="1" min="4" max="4"/>
    <col width="46" customWidth="1" min="5" max="5"/>
    <col width="30" customWidth="1" min="6" max="6"/>
    <col width="14" customWidth="1" min="7" max="7"/>
  </cols>
  <sheetData>
    <row r="1" ht="36" customHeight="1">
      <c r="A1" s="1" t="inlineStr">
        <is>
          <t xml:space="preserve">  FoodLine Campus — Break-Even &amp; Revenue Sensitivity Analysis</t>
        </is>
      </c>
    </row>
    <row r="2" ht="20" customHeight="1">
      <c r="A2" s="2" t="inlineStr">
        <is>
          <t xml:space="preserve">  Order threshold models, contribution margin testing, and AOV vs Take-Rate sensitivity matrix</t>
        </is>
      </c>
    </row>
    <row r="3"/>
    <row r="4">
      <c r="A4" s="8" t="inlineStr">
        <is>
          <t>1. BREAK-EVEN ORDER THRESHOLD ANALYSIS (PILOT CAMPUS)</t>
        </is>
      </c>
    </row>
    <row r="5">
      <c r="A5" s="9" t="inlineStr">
        <is>
          <t>Break-Even Parameter</t>
        </is>
      </c>
      <c r="B5" s="9" t="inlineStr">
        <is>
          <t>Formula / Derivation</t>
        </is>
      </c>
      <c r="C5" s="10" t="inlineStr">
        <is>
          <t>Value</t>
        </is>
      </c>
      <c r="D5" s="10" t="inlineStr">
        <is>
          <t>Unit</t>
        </is>
      </c>
      <c r="E5" s="9" t="inlineStr">
        <is>
          <t>Strategic Implication</t>
        </is>
      </c>
    </row>
    <row r="6">
      <c r="A6" s="39" t="inlineStr">
        <is>
          <t>Average Order Value (AOV)</t>
        </is>
      </c>
      <c r="B6" s="11" t="inlineStr">
        <is>
          <t>Assumptions &amp; Drivers C15</t>
        </is>
      </c>
      <c r="C6" s="33">
        <f>'Assumptions &amp; Drivers'!C15</f>
        <v/>
      </c>
      <c r="D6" s="28" t="inlineStr">
        <is>
          <t>₹/Order</t>
        </is>
      </c>
      <c r="E6" s="25" t="inlineStr">
        <is>
          <t>Base average spend per transaction</t>
        </is>
      </c>
    </row>
    <row r="7">
      <c r="A7" s="39" t="inlineStr">
        <is>
          <t>Platform Take-Rate (12%)</t>
        </is>
      </c>
      <c r="B7" s="11" t="inlineStr">
        <is>
          <t>Assumptions &amp; Drivers C16</t>
        </is>
      </c>
      <c r="C7" s="13">
        <f>'Assumptions &amp; Drivers'!C16</f>
        <v/>
      </c>
      <c r="D7" s="28" t="inlineStr">
        <is>
          <t>%</t>
        </is>
      </c>
      <c r="E7" s="25" t="inlineStr">
        <is>
          <t>Revenue take-rate charged to merchant</t>
        </is>
      </c>
    </row>
    <row r="8">
      <c r="A8" s="39" t="inlineStr">
        <is>
          <t>Take-Rate Revenue per Order</t>
        </is>
      </c>
      <c r="B8" s="11" t="inlineStr">
        <is>
          <t>AOV * Take-Rate</t>
        </is>
      </c>
      <c r="C8" s="33">
        <f>C6*C7</f>
        <v/>
      </c>
      <c r="D8" s="28" t="inlineStr">
        <is>
          <t>₹/Order</t>
        </is>
      </c>
      <c r="E8" s="25" t="inlineStr">
        <is>
          <t>Platform gross cut per order</t>
        </is>
      </c>
    </row>
    <row r="9">
      <c r="A9" s="39" t="inlineStr">
        <is>
          <t>Variable Cost per Order (COGS)</t>
        </is>
      </c>
      <c r="B9" s="11" t="inlineStr">
        <is>
          <t>Assumptions &amp; Drivers C26</t>
        </is>
      </c>
      <c r="C9" s="33">
        <f>'Assumptions &amp; Drivers'!C26</f>
        <v/>
      </c>
      <c r="D9" s="28" t="inlineStr">
        <is>
          <t>₹/Order</t>
        </is>
      </c>
      <c r="E9" s="25" t="inlineStr">
        <is>
          <t>Cloud, SMS, payment gateway &amp; field ops</t>
        </is>
      </c>
    </row>
    <row r="10">
      <c r="A10" s="42" t="inlineStr">
        <is>
          <t>Net Contribution Margin per Order</t>
        </is>
      </c>
      <c r="B10" s="11" t="inlineStr">
        <is>
          <t>Take-Rate Revenue - Variable Cost</t>
        </is>
      </c>
      <c r="C10" s="33">
        <f>C8-C9</f>
        <v/>
      </c>
      <c r="D10" s="28" t="inlineStr">
        <is>
          <t>₹/Order</t>
        </is>
      </c>
      <c r="E10" s="25" t="inlineStr">
        <is>
          <t>Net cash generated by each order</t>
        </is>
      </c>
    </row>
    <row r="11">
      <c r="A11" s="42" t="inlineStr">
        <is>
          <t>Contribution Margin Ratio</t>
        </is>
      </c>
      <c r="B11" s="11" t="inlineStr">
        <is>
          <t>Contribution Margin / Take-Rate Revenue</t>
        </is>
      </c>
      <c r="C11" s="13">
        <f>C10/C8</f>
        <v/>
      </c>
      <c r="D11" s="28" t="inlineStr">
        <is>
          <t>%</t>
        </is>
      </c>
      <c r="E11" s="25" t="inlineStr">
        <is>
          <t>Contribution margin on Take-Rate revenue</t>
        </is>
      </c>
    </row>
    <row r="12">
      <c r="A12" s="39" t="inlineStr">
        <is>
          <t>Pilot Campus Annual Fixed Costs</t>
        </is>
      </c>
      <c r="B12" s="11" t="inlineStr">
        <is>
          <t>Unit Economics &amp; Pilot C31</t>
        </is>
      </c>
      <c r="C12" s="14">
        <f>'Unit Economics &amp; Pilot'!C31</f>
        <v/>
      </c>
      <c r="D12" s="28" t="inlineStr">
        <is>
          <t>₹/Year</t>
        </is>
      </c>
      <c r="E12" s="25" t="inlineStr">
        <is>
          <t>Fixed ops, marketing, hardware upkeep</t>
        </is>
      </c>
    </row>
    <row r="13">
      <c r="A13" s="39" t="inlineStr">
        <is>
          <t>Canteen SaaS Fee Offset (3 Canteens)</t>
        </is>
      </c>
      <c r="B13" s="11" t="inlineStr">
        <is>
          <t>Unit Economics &amp; Pilot C27</t>
        </is>
      </c>
      <c r="C13" s="14">
        <f>'Unit Economics &amp; Pilot'!C27</f>
        <v/>
      </c>
      <c r="D13" s="28" t="inlineStr">
        <is>
          <t>₹/Year</t>
        </is>
      </c>
      <c r="E13" s="25" t="inlineStr">
        <is>
          <t>Fixed SaaS subscription revenue</t>
        </is>
      </c>
    </row>
    <row r="14">
      <c r="A14" s="39" t="inlineStr">
        <is>
          <t>Net Fixed Costs to Cover via Orders</t>
        </is>
      </c>
      <c r="B14" s="11" t="inlineStr">
        <is>
          <t>Fixed Costs - SaaS Offset</t>
        </is>
      </c>
      <c r="C14" s="14">
        <f>C12-C13</f>
        <v/>
      </c>
      <c r="D14" s="28" t="inlineStr">
        <is>
          <t>₹/Year</t>
        </is>
      </c>
      <c r="E14" s="25" t="inlineStr">
        <is>
          <t>Net overheads remaining after SaaS fees</t>
        </is>
      </c>
    </row>
    <row r="15">
      <c r="A15" s="37" t="inlineStr">
        <is>
          <t>Annual Break-Even Order Volume</t>
        </is>
      </c>
      <c r="B15" s="11" t="inlineStr">
        <is>
          <t>Net Fixed Costs / Contribution Margin</t>
        </is>
      </c>
      <c r="C15" s="49">
        <f>C14/C10</f>
        <v/>
      </c>
      <c r="D15" s="44" t="inlineStr">
        <is>
          <t>Orders/Year</t>
        </is>
      </c>
      <c r="E15" s="25" t="inlineStr">
        <is>
          <t>Total orders needed to reach ₹0 net profit</t>
        </is>
      </c>
    </row>
    <row r="16">
      <c r="A16" s="37" t="inlineStr">
        <is>
          <t>Monthly Break-Even Orders (10 Mos)</t>
        </is>
      </c>
      <c r="B16" s="11" t="inlineStr">
        <is>
          <t>Annual Break-Even Orders / 10</t>
        </is>
      </c>
      <c r="C16" s="49">
        <f>C15/10</f>
        <v/>
      </c>
      <c r="D16" s="44" t="inlineStr">
        <is>
          <t>Orders/Mo</t>
        </is>
      </c>
      <c r="E16" s="25" t="inlineStr">
        <is>
          <t>Monthly threshold across 3 canteens</t>
        </is>
      </c>
    </row>
    <row r="17">
      <c r="A17" s="37" t="inlineStr">
        <is>
          <t>Daily Break-Even Orders per Canteen</t>
        </is>
      </c>
      <c r="B17" s="11" t="inlineStr">
        <is>
          <t>Monthly Break-Even / (3 Canteens * 25 Days)</t>
        </is>
      </c>
      <c r="C17" s="49">
        <f>C16/(3*25)</f>
        <v/>
      </c>
      <c r="D17" s="44" t="inlineStr">
        <is>
          <t>Orders/Day</t>
        </is>
      </c>
      <c r="E17" s="25" t="inlineStr">
        <is>
          <t>Assumes 25 operating days/mo, 3 canteens</t>
        </is>
      </c>
    </row>
    <row r="18">
      <c r="A18" s="39" t="inlineStr">
        <is>
          <t>Projected Pilot Monthly Orders</t>
        </is>
      </c>
      <c r="B18" s="11" t="inlineStr">
        <is>
          <t>Unit Economics &amp; Pilot C21</t>
        </is>
      </c>
      <c r="C18" s="12">
        <f>'Unit Economics &amp; Pilot'!C21</f>
        <v/>
      </c>
      <c r="D18" s="28" t="inlineStr">
        <is>
          <t>Orders/Mo</t>
        </is>
      </c>
      <c r="E18" s="25" t="inlineStr">
        <is>
          <t>Modeled pilot volume (5,000 orders/mo)</t>
        </is>
      </c>
    </row>
    <row r="19">
      <c r="A19" s="40" t="inlineStr">
        <is>
          <t>Safety Margin (Buffer above Break-Even)</t>
        </is>
      </c>
      <c r="B19" s="11" t="inlineStr">
        <is>
          <t>(Projected Orders - Break-Even Orders) / Projected</t>
        </is>
      </c>
      <c r="C19" s="22">
        <f>(C18-C16)/C18</f>
        <v/>
      </c>
      <c r="D19" s="44" t="inlineStr">
        <is>
          <t>%</t>
        </is>
      </c>
      <c r="E19" s="25" t="inlineStr">
        <is>
          <t>Pilot volume is 3x to 5x above break-even!</t>
        </is>
      </c>
    </row>
    <row r="20"/>
    <row r="21"/>
    <row r="22">
      <c r="A22" s="8" t="inlineStr">
        <is>
          <t>2. SENSITIVITY MATRIX: ANNUAL REVENUE PER CAMPUS (AOV vs TAKE-RATE)</t>
        </is>
      </c>
    </row>
    <row r="23">
      <c r="A23" s="27" t="inlineStr">
        <is>
          <t>AOV \ Take-Rate</t>
        </is>
      </c>
      <c r="B23" s="50" t="n">
        <v>0.08</v>
      </c>
      <c r="C23" s="50" t="n">
        <v>0.1</v>
      </c>
      <c r="D23" s="50" t="n">
        <v>0.12</v>
      </c>
      <c r="E23" s="50" t="n">
        <v>0.14</v>
      </c>
      <c r="F23" s="50" t="n">
        <v>0.16</v>
      </c>
    </row>
    <row r="24">
      <c r="A24" s="46" t="n">
        <v>50</v>
      </c>
      <c r="B24" s="14">
        <f>50000*A24*B23+(3*2500*10)</f>
        <v/>
      </c>
      <c r="C24" s="14">
        <f>50000*A24*C23+(3*2500*10)</f>
        <v/>
      </c>
      <c r="D24" s="14">
        <f>50000*A24*D23+(3*2500*10)</f>
        <v/>
      </c>
      <c r="E24" s="14">
        <f>50000*A24*E23+(3*2500*10)</f>
        <v/>
      </c>
      <c r="F24" s="14">
        <f>50000*A24*F23+(3*2500*10)</f>
        <v/>
      </c>
    </row>
    <row r="25">
      <c r="A25" s="46" t="n">
        <v>60</v>
      </c>
      <c r="B25" s="14">
        <f>50000*A25*B23+(3*2500*10)</f>
        <v/>
      </c>
      <c r="C25" s="14">
        <f>50000*A25*C23+(3*2500*10)</f>
        <v/>
      </c>
      <c r="D25" s="14">
        <f>50000*A25*D23+(3*2500*10)</f>
        <v/>
      </c>
      <c r="E25" s="14">
        <f>50000*A25*E23+(3*2500*10)</f>
        <v/>
      </c>
      <c r="F25" s="14">
        <f>50000*A25*F23+(3*2500*10)</f>
        <v/>
      </c>
    </row>
    <row r="26">
      <c r="A26" s="46" t="n">
        <v>65</v>
      </c>
      <c r="B26" s="14">
        <f>50000*A26*B23+(3*2500*10)</f>
        <v/>
      </c>
      <c r="C26" s="14">
        <f>50000*A26*C23+(3*2500*10)</f>
        <v/>
      </c>
      <c r="D26" s="18">
        <f>50000*A26*D23+(3*2500*10)</f>
        <v/>
      </c>
      <c r="E26" s="14">
        <f>50000*A26*E23+(3*2500*10)</f>
        <v/>
      </c>
      <c r="F26" s="14">
        <f>50000*A26*F23+(3*2500*10)</f>
        <v/>
      </c>
    </row>
    <row r="27">
      <c r="A27" s="46" t="n">
        <v>70</v>
      </c>
      <c r="B27" s="14">
        <f>50000*A27*B23+(3*2500*10)</f>
        <v/>
      </c>
      <c r="C27" s="14">
        <f>50000*A27*C23+(3*2500*10)</f>
        <v/>
      </c>
      <c r="D27" s="14">
        <f>50000*A27*D23+(3*2500*10)</f>
        <v/>
      </c>
      <c r="E27" s="14">
        <f>50000*A27*E23+(3*2500*10)</f>
        <v/>
      </c>
      <c r="F27" s="14">
        <f>50000*A27*F23+(3*2500*10)</f>
        <v/>
      </c>
    </row>
    <row r="28">
      <c r="A28" s="46" t="n">
        <v>80</v>
      </c>
      <c r="B28" s="14">
        <f>50000*A28*B23+(3*2500*10)</f>
        <v/>
      </c>
      <c r="C28" s="14">
        <f>50000*A28*C23+(3*2500*10)</f>
        <v/>
      </c>
      <c r="D28" s="14">
        <f>50000*A28*D23+(3*2500*10)</f>
        <v/>
      </c>
      <c r="E28" s="14">
        <f>50000*A28*E23+(3*2500*10)</f>
        <v/>
      </c>
      <c r="F28" s="14">
        <f>50000*A28*F23+(3*2500*10)</f>
        <v/>
      </c>
    </row>
    <row r="29">
      <c r="A29" s="46" t="n">
        <v>90</v>
      </c>
      <c r="B29" s="14">
        <f>50000*A29*B23+(3*2500*10)</f>
        <v/>
      </c>
      <c r="C29" s="14">
        <f>50000*A29*C23+(3*2500*10)</f>
        <v/>
      </c>
      <c r="D29" s="14">
        <f>50000*A29*D23+(3*2500*10)</f>
        <v/>
      </c>
      <c r="E29" s="14">
        <f>50000*A29*E23+(3*2500*10)</f>
        <v/>
      </c>
      <c r="F29" s="14">
        <f>50000*A29*F23+(3*2500*10)</f>
        <v/>
      </c>
    </row>
    <row r="30"/>
    <row r="31">
      <c r="A31" s="51" t="inlineStr">
        <is>
          <t>* Highlighted cell represents baseline pilot assumptions: ₹65 AOV and 12% Take-Rate generating ₹4,65,000/yr per campus.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2026-09-19T12:46:24Z</dcterms:created>
  <dcterms:modified xmlns:dcterms="http://purl.org/dc/terms/" xmlns:xsi="http://www.w3.org/2001/XMLSchema-instance" xsi:type="dcterms:W3CDTF">2026-09-19T12:46:25Z</dcterms:modified>
</cp:coreProperties>
</file>