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Assumptions &amp; Drivers" sheetId="2" state="visible" r:id="rId2"/>
    <sheet xmlns:r="http://schemas.openxmlformats.org/officeDocument/2006/relationships" name="Single-Campus Pilot Economics" sheetId="3" state="visible" r:id="rId3"/>
    <sheet xmlns:r="http://schemas.openxmlformats.org/officeDocument/2006/relationships" name="5-Year Growth Projections" sheetId="4" state="visible" r:id="rId4"/>
    <sheet xmlns:r="http://schemas.openxmlformats.org/officeDocument/2006/relationships" name="Capital Requirements" sheetId="5" state="visible" r:id="rId5"/>
    <sheet xmlns:r="http://schemas.openxmlformats.org/officeDocument/2006/relationships" name="Viability Math &amp; Break-Even" sheetId="6" state="visible" r:id="rId6"/>
    <sheet xmlns:r="http://schemas.openxmlformats.org/officeDocument/2006/relationships" name="Goldmine Target (500 Campuse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;[Red](₹#,##0);&quot;-&quot;"/>
    <numFmt numFmtId="165" formatCode="0.0%"/>
    <numFmt numFmtId="166" formatCode="0.0"/>
    <numFmt numFmtId="167" formatCode="₹#,##0.00;[Red](₹#,##0.00);&quot;-&quot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280"/>
      <sz val="10"/>
    </font>
    <font>
      <name val="Calibri"/>
      <b val="1"/>
      <color rgb="001A1A2E"/>
      <sz val="18"/>
    </font>
    <font>
      <name val="Calibri"/>
      <b val="1"/>
      <color rgb="004B5563"/>
      <sz val="9"/>
    </font>
    <font>
      <name val="Calibri"/>
      <b val="1"/>
      <color rgb="001A1A2E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0369A1"/>
      <sz val="11"/>
    </font>
    <font>
      <name val="Calibri"/>
      <sz val="11"/>
    </font>
    <font>
      <name val="Calibri"/>
      <color rgb="006B7280"/>
      <sz val="10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  <fill>
      <patternFill patternType="solid">
        <fgColor rgb="00FFEDD5"/>
        <bgColor rgb="00FFEDD5"/>
      </patternFill>
    </fill>
    <fill>
      <patternFill patternType="solid">
        <fgColor rgb="00374151"/>
        <bgColor rgb="00374151"/>
      </patternFill>
    </fill>
    <fill>
      <patternFill patternType="solid">
        <fgColor rgb="00E0F2FE"/>
        <bgColor rgb="00E0F2FE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medium">
        <color rgb="000284C7"/>
      </left>
      <right style="medium">
        <color rgb="000284C7"/>
      </right>
      <top style="medium">
        <color rgb="000284C7"/>
      </top>
      <bottom style="medium">
        <color rgb="000284C7"/>
      </bottom>
    </border>
    <border>
      <left style="thin">
        <color rgb="00D1D5DB"/>
      </left>
      <right style="thin">
        <color rgb="00D1D5DB"/>
      </right>
      <top style="thin">
        <color rgb="001A1A2E"/>
      </top>
      <bottom style="double">
        <color rgb="001A1A2E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64" fontId="3" fillId="7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right" vertical="center"/>
    </xf>
    <xf numFmtId="0" fontId="7" fillId="9" borderId="1" pivotButton="0" quotePrefix="0" xfId="0"/>
    <xf numFmtId="3" fontId="8" fillId="9" borderId="2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8" fillId="9" borderId="2" applyAlignment="1" pivotButton="0" quotePrefix="0" xfId="0">
      <alignment horizontal="right" vertical="center"/>
    </xf>
    <xf numFmtId="0" fontId="9" fillId="0" borderId="1" pivotButton="0" quotePrefix="0" xfId="0"/>
    <xf numFmtId="3" fontId="9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166" fontId="8" fillId="9" borderId="2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7" borderId="1" pivotButton="0" quotePrefix="0" xfId="0"/>
    <xf numFmtId="164" fontId="7" fillId="7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7" fillId="5" borderId="1" pivotButton="0" quotePrefix="0" xfId="0"/>
    <xf numFmtId="164" fontId="7" fillId="5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0" fontId="7" fillId="4" borderId="1" pivotButton="0" quotePrefix="0" xfId="0"/>
    <xf numFmtId="0" fontId="9" fillId="0" borderId="1" applyAlignment="1" pivotButton="0" quotePrefix="0" xfId="0">
      <alignment horizontal="center" vertical="center"/>
    </xf>
    <xf numFmtId="167" fontId="8" fillId="9" borderId="2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4" fontId="8" fillId="9" borderId="2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right" vertical="center"/>
    </xf>
    <xf numFmtId="3" fontId="3" fillId="3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7" fillId="0" borderId="3" pivotButton="0" quotePrefix="0" xfId="0"/>
    <xf numFmtId="0" fontId="0" fillId="0" borderId="3" applyAlignment="1" pivotButton="0" quotePrefix="0" xfId="0">
      <alignment horizontal="center" vertical="center"/>
    </xf>
    <xf numFmtId="3" fontId="7" fillId="0" borderId="3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164" fontId="7" fillId="5" borderId="3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7" fillId="7" borderId="3" pivotButton="0" quotePrefix="0" xfId="0"/>
    <xf numFmtId="164" fontId="7" fillId="7" borderId="3" applyAlignment="1" pivotButton="0" quotePrefix="0" xfId="0">
      <alignment horizontal="right" vertical="center"/>
    </xf>
    <xf numFmtId="165" fontId="7" fillId="7" borderId="3" applyAlignment="1" pivotButton="0" quotePrefix="0" xfId="0">
      <alignment horizontal="right" vertical="center"/>
    </xf>
    <xf numFmtId="0" fontId="10" fillId="7" borderId="3" pivotButton="0" quotePrefix="0" xfId="0"/>
    <xf numFmtId="0" fontId="10" fillId="0" borderId="1" pivotButton="0" quotePrefix="0" xfId="0"/>
    <xf numFmtId="0" fontId="7" fillId="3" borderId="3" pivotButton="0" quotePrefix="0" xfId="0"/>
    <xf numFmtId="164" fontId="7" fillId="3" borderId="3" applyAlignment="1" pivotButton="0" quotePrefix="0" xfId="0">
      <alignment horizontal="right" vertical="center"/>
    </xf>
    <xf numFmtId="165" fontId="7" fillId="3" borderId="3" applyAlignment="1" pivotButton="0" quotePrefix="0" xfId="0">
      <alignment horizontal="right" vertical="center"/>
    </xf>
    <xf numFmtId="0" fontId="10" fillId="3" borderId="3" pivotButton="0" quotePrefix="0" xfId="0"/>
    <xf numFmtId="3" fontId="7" fillId="7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65" fontId="6" fillId="8" borderId="1" applyAlignment="1" pivotButton="0" quotePrefix="0" xfId="0">
      <alignment horizontal="right" vertical="center"/>
    </xf>
    <xf numFmtId="0" fontId="10" fillId="0" borderId="0" pivotButton="0" quotePrefix="0" xfId="0"/>
    <xf numFmtId="0" fontId="7" fillId="5" borderId="1" applyAlignment="1" pivotButton="0" quotePrefix="0" xfId="0">
      <alignment horizontal="left" vertical="center"/>
    </xf>
    <xf numFmtId="165" fontId="7" fillId="5" borderId="3" applyAlignment="1" pivotButton="0" quotePrefix="0" xfId="0">
      <alignment horizontal="right" vertical="center"/>
    </xf>
    <xf numFmtId="0" fontId="7" fillId="5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42" customWidth="1" min="2" max="2"/>
    <col width="18" customWidth="1" min="3" max="3"/>
    <col width="18" customWidth="1" min="4" max="4"/>
    <col width="18" customWidth="1" min="5" max="5"/>
    <col width="36" customWidth="1" min="6" max="6"/>
    <col width="18" customWidth="1" min="7" max="7"/>
    <col width="48" customWidth="1" min="8" max="8"/>
  </cols>
  <sheetData>
    <row r="1" ht="36" customHeight="1">
      <c r="A1" s="1" t="inlineStr">
        <is>
          <t xml:space="preserve">  FoodLine Campus — Executive Financial Dashboard &amp; Dynamic Model Engine</t>
        </is>
      </c>
    </row>
    <row r="2" ht="20" customHeight="1">
      <c r="A2" s="2" t="inlineStr">
        <is>
          <t xml:space="preserve">  💡 ALL BLUE-HIGHLIGHTED CELLS ARE LIVE INPUTS. Change Campuses, Adoption %, Order Rates, or Goldmine Target to recalculate the entire workbook in real time!</t>
        </is>
      </c>
    </row>
    <row r="3"/>
    <row r="4">
      <c r="B4" s="3">
        <f>SUM(C19:G19)</f>
        <v/>
      </c>
      <c r="D4" s="4">
        <f>SUM(C20:G20)</f>
        <v/>
      </c>
      <c r="F4" s="5">
        <f>G22</f>
        <v/>
      </c>
    </row>
    <row r="5"/>
    <row r="6">
      <c r="B6" s="6" t="inlineStr">
        <is>
          <t>5-YEAR CUMULATIVE GMV</t>
        </is>
      </c>
      <c r="D6" s="6" t="inlineStr">
        <is>
          <t>5-YEAR CUMULATIVE REVENUE</t>
        </is>
      </c>
      <c r="F6" s="6" t="inlineStr">
        <is>
          <t>YEAR 5 NET ANNUAL PROFIT</t>
        </is>
      </c>
    </row>
    <row r="7"/>
    <row r="8">
      <c r="B8" s="7">
        <f>'Capital Requirements'!C11</f>
        <v/>
      </c>
      <c r="D8" s="4">
        <f>C22</f>
        <v/>
      </c>
      <c r="F8" s="8">
        <f>'Executive Dashboard'!$G$35</f>
        <v/>
      </c>
    </row>
    <row r="9"/>
    <row r="10">
      <c r="B10" s="6" t="inlineStr">
        <is>
          <t>INITIAL CAPITAL REQUIRED</t>
        </is>
      </c>
      <c r="D10" s="6" t="inlineStr">
        <is>
          <t>YEAR 1 PILOT NET PROFIT</t>
        </is>
      </c>
      <c r="F10" s="6" t="inlineStr">
        <is>
          <t>GOLDMINE 5% TARGET (ACHIEVED IN Y5)</t>
        </is>
      </c>
    </row>
    <row r="11"/>
    <row r="12">
      <c r="B12" s="9" t="inlineStr">
        <is>
          <t>1. 5-YEAR DYNAMIC EXPANSION MODEL (SLIDE 11)</t>
        </is>
      </c>
    </row>
    <row r="13">
      <c r="B13" s="10" t="inlineStr">
        <is>
          <t>Metric</t>
        </is>
      </c>
      <c r="C13" s="11" t="inlineStr">
        <is>
          <t>Year 1</t>
        </is>
      </c>
      <c r="D13" s="11" t="inlineStr">
        <is>
          <t>Year 2</t>
        </is>
      </c>
      <c r="E13" s="11" t="inlineStr">
        <is>
          <t>Year 3</t>
        </is>
      </c>
      <c r="F13" s="11" t="inlineStr">
        <is>
          <t>Year 4</t>
        </is>
      </c>
      <c r="G13" s="11" t="inlineStr">
        <is>
          <t>Year 5</t>
        </is>
      </c>
      <c r="H13" s="11" t="inlineStr">
        <is>
          <t>5-Year Total / CAGR</t>
        </is>
      </c>
    </row>
    <row r="14">
      <c r="B14" s="12" t="inlineStr">
        <is>
          <t>Active Campuses [EDITABLE INPUT]</t>
        </is>
      </c>
      <c r="C14" s="13" t="n">
        <v>1</v>
      </c>
      <c r="D14" s="13" t="n">
        <v>5</v>
      </c>
      <c r="E14" s="13" t="n">
        <v>10</v>
      </c>
      <c r="F14" s="13" t="n">
        <v>15</v>
      </c>
      <c r="G14" s="13" t="n">
        <v>20</v>
      </c>
      <c r="H14" s="14">
        <f>(G14/C14)^(1/4)-1</f>
        <v/>
      </c>
    </row>
    <row r="15">
      <c r="B15" s="12" t="inlineStr">
        <is>
          <t>Student Adoption Rate % [EDITABLE INPUT]</t>
        </is>
      </c>
      <c r="C15" s="15" t="n">
        <v>0.6</v>
      </c>
      <c r="D15" s="15" t="n">
        <v>0.6</v>
      </c>
      <c r="E15" s="15" t="n">
        <v>0.6</v>
      </c>
      <c r="F15" s="15" t="n">
        <v>0.6</v>
      </c>
      <c r="G15" s="15" t="n">
        <v>0.6</v>
      </c>
      <c r="H15" s="14">
        <f>AVERAGE(C15:G15)</f>
        <v/>
      </c>
    </row>
    <row r="16">
      <c r="B16" s="16" t="inlineStr">
        <is>
          <t>Active Students (Calculated)</t>
        </is>
      </c>
      <c r="C16" s="17">
        <f>C14*$D$29*C15</f>
        <v/>
      </c>
      <c r="D16" s="17">
        <f>D14*$D$29*D15</f>
        <v/>
      </c>
      <c r="E16" s="17">
        <f>E14*$D$29*E15</f>
        <v/>
      </c>
      <c r="F16" s="17">
        <f>F14*$D$29*F15</f>
        <v/>
      </c>
      <c r="G16" s="17">
        <f>G14*$D$29*G15</f>
        <v/>
      </c>
      <c r="H16" s="18">
        <f>(G16/C16)^(1/4)-1</f>
        <v/>
      </c>
    </row>
    <row r="17">
      <c r="B17" s="12" t="inlineStr">
        <is>
          <t>Monthly Orders / Student [EDITABLE INPUT]</t>
        </is>
      </c>
      <c r="C17" s="19" t="n">
        <v>20</v>
      </c>
      <c r="D17" s="19" t="n">
        <v>20</v>
      </c>
      <c r="E17" s="19" t="n">
        <v>20</v>
      </c>
      <c r="F17" s="19" t="n">
        <v>15</v>
      </c>
      <c r="G17" s="19" t="n">
        <v>15</v>
      </c>
      <c r="H17" s="20">
        <f>AVERAGE(C17:G17)</f>
        <v/>
      </c>
    </row>
    <row r="18">
      <c r="B18" s="21" t="inlineStr">
        <is>
          <t>Annual Orders (Calculated)</t>
        </is>
      </c>
      <c r="C18" s="22">
        <f>C16*(C17*$D$30)</f>
        <v/>
      </c>
      <c r="D18" s="22">
        <f>D16*(D17*$D$30)</f>
        <v/>
      </c>
      <c r="E18" s="22">
        <f>E16*(E17*$D$30)</f>
        <v/>
      </c>
      <c r="F18" s="22">
        <f>F16*(F17*$D$30)</f>
        <v/>
      </c>
      <c r="G18" s="22">
        <f>G16*(G17*$D$30)</f>
        <v/>
      </c>
      <c r="H18" s="22">
        <f>SUM(C18:G18)</f>
        <v/>
      </c>
    </row>
    <row r="19">
      <c r="B19" s="21" t="inlineStr">
        <is>
          <t>Annual GMV (Gross Merchandise Value)</t>
        </is>
      </c>
      <c r="C19" s="23">
        <f>C18*$D$27</f>
        <v/>
      </c>
      <c r="D19" s="23">
        <f>D18*$D$27</f>
        <v/>
      </c>
      <c r="E19" s="23">
        <f>E18*$D$27</f>
        <v/>
      </c>
      <c r="F19" s="23">
        <f>F18*$D$27</f>
        <v/>
      </c>
      <c r="G19" s="23">
        <f>G18*$D$27</f>
        <v/>
      </c>
      <c r="H19" s="23">
        <f>SUM(C19:G19)</f>
        <v/>
      </c>
    </row>
    <row r="20">
      <c r="B20" s="24" t="inlineStr">
        <is>
          <t>Platform Revenue (Student Convenience Fee)</t>
        </is>
      </c>
      <c r="C20" s="25">
        <f>C19*$D$28</f>
        <v/>
      </c>
      <c r="D20" s="25">
        <f>D19*$D$28</f>
        <v/>
      </c>
      <c r="E20" s="25">
        <f>E19*$D$28</f>
        <v/>
      </c>
      <c r="F20" s="25">
        <f>F19*$D$28</f>
        <v/>
      </c>
      <c r="G20" s="25">
        <f>G19*$D$28</f>
        <v/>
      </c>
      <c r="H20" s="25">
        <f>SUM(C20:G20)</f>
        <v/>
      </c>
    </row>
    <row r="21">
      <c r="B21" s="16" t="inlineStr">
        <is>
          <t>Lean Annual OPEX [EDITABLE INPUT]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3">
        <f>SUM(C21:G21)</f>
        <v/>
      </c>
    </row>
    <row r="22">
      <c r="B22" s="27" t="inlineStr">
        <is>
          <t>NET ANNUAL PROFIT</t>
        </is>
      </c>
      <c r="C22" s="28">
        <f>C20-(C21+C18*$D$31)</f>
        <v/>
      </c>
      <c r="D22" s="28">
        <f>D20-(D21+D18*$D$31)</f>
        <v/>
      </c>
      <c r="E22" s="28">
        <f>E20-(E21+E18*$D$31)</f>
        <v/>
      </c>
      <c r="F22" s="28">
        <f>F20-(F21+F18*$D$31)</f>
        <v/>
      </c>
      <c r="G22" s="28">
        <f>G20-(G21+G18*$D$31)</f>
        <v/>
      </c>
      <c r="H22" s="28">
        <f>SUM(C22:G22)</f>
        <v/>
      </c>
    </row>
    <row r="23">
      <c r="B23" s="21" t="inlineStr">
        <is>
          <t>Net Profit Margin %</t>
        </is>
      </c>
      <c r="C23" s="14">
        <f>C22/C20</f>
        <v/>
      </c>
      <c r="D23" s="14">
        <f>D22/D20</f>
        <v/>
      </c>
      <c r="E23" s="14">
        <f>E22/E20</f>
        <v/>
      </c>
      <c r="F23" s="14">
        <f>F22/F20</f>
        <v/>
      </c>
      <c r="G23" s="14">
        <f>G22/G20</f>
        <v/>
      </c>
      <c r="H23" s="14">
        <f>H22/H20</f>
        <v/>
      </c>
    </row>
    <row r="24"/>
    <row r="25">
      <c r="B25" s="9" t="inlineStr">
        <is>
          <t>2. LIVE MODEL CONTROLS &amp; MASTER DRIVERS (EDIT ANY VALUE IN BLUE)</t>
        </is>
      </c>
    </row>
    <row r="26">
      <c r="B26" s="10" t="inlineStr">
        <is>
          <t>Core Operational Driver</t>
        </is>
      </c>
      <c r="C26" s="29" t="inlineStr">
        <is>
          <t>Unit</t>
        </is>
      </c>
      <c r="D26" s="11" t="inlineStr">
        <is>
          <t>Live Value [EDITABLE]</t>
        </is>
      </c>
      <c r="F26" s="10" t="inlineStr">
        <is>
          <t>Business &amp; Valuation Parameter</t>
        </is>
      </c>
      <c r="G26" s="11" t="inlineStr">
        <is>
          <t>Live Value</t>
        </is>
      </c>
      <c r="H26" s="10" t="inlineStr">
        <is>
          <t>Strategic Implication</t>
        </is>
      </c>
    </row>
    <row r="27">
      <c r="B27" s="30" t="inlineStr">
        <is>
          <t>Average Order Value (AOV)</t>
        </is>
      </c>
      <c r="C27" s="31" t="inlineStr">
        <is>
          <t>₹/Order</t>
        </is>
      </c>
      <c r="D27" s="32" t="n">
        <v>70</v>
      </c>
      <c r="F27" s="30" t="inlineStr">
        <is>
          <t>Canteen Merchant Commission Rate</t>
        </is>
      </c>
      <c r="G27" s="15" t="n">
        <v>0</v>
      </c>
      <c r="H27" s="33" t="inlineStr">
        <is>
          <t>100% Free for canteens (Instant merchant adoption)</t>
        </is>
      </c>
    </row>
    <row r="28">
      <c r="B28" s="30" t="inlineStr">
        <is>
          <t>Student Convenience Fee Rate</t>
        </is>
      </c>
      <c r="C28" s="31" t="inlineStr">
        <is>
          <t>%</t>
        </is>
      </c>
      <c r="D28" s="15" t="n">
        <v>0.04</v>
      </c>
      <c r="F28" s="30" t="inlineStr">
        <is>
          <t>Payment Gateway MDR (Direct UPI)</t>
        </is>
      </c>
      <c r="G28" s="15" t="n">
        <v>0</v>
      </c>
      <c r="H28" s="33" t="inlineStr">
        <is>
          <t>Direct UPI peer-to-merchant rail (0% gateway fee)</t>
        </is>
      </c>
    </row>
    <row r="29">
      <c r="B29" s="30" t="inlineStr">
        <is>
          <t>Total Students per Campus</t>
        </is>
      </c>
      <c r="C29" s="31" t="inlineStr">
        <is>
          <t>Students</t>
        </is>
      </c>
      <c r="D29" s="13" t="n">
        <v>2500</v>
      </c>
      <c r="F29" s="30" t="inlineStr">
        <is>
          <t>Total Initial Setup Investment</t>
        </is>
      </c>
      <c r="G29" s="34">
        <f>'Capital Requirements'!C11</f>
        <v/>
      </c>
      <c r="H29" s="33" t="inlineStr">
        <is>
          <t>Platform build, hardware, legal &amp; working capital</t>
        </is>
      </c>
    </row>
    <row r="30">
      <c r="B30" s="30" t="inlineStr">
        <is>
          <t>Operating Academic Months / Year</t>
        </is>
      </c>
      <c r="C30" s="31" t="inlineStr">
        <is>
          <t>Months</t>
        </is>
      </c>
      <c r="D30" s="13" t="n">
        <v>12</v>
      </c>
      <c r="F30" s="30" t="inlineStr">
        <is>
          <t>Founders Equity Commitment</t>
        </is>
      </c>
      <c r="G30" s="15" t="n">
        <v>0.51</v>
      </c>
      <c r="H30" s="33" t="inlineStr">
        <is>
          <t>Controlling stake &amp; operational leadership</t>
        </is>
      </c>
    </row>
    <row r="31">
      <c r="B31" s="30" t="inlineStr">
        <is>
          <t>Direct Variable Tech Cost / Order</t>
        </is>
      </c>
      <c r="C31" s="31" t="inlineStr">
        <is>
          <t>₹/Order</t>
        </is>
      </c>
      <c r="D31" s="32" t="n">
        <v>0.3</v>
      </c>
      <c r="F31" s="30" t="inlineStr">
        <is>
          <t>Seed Capital / Incubation Grant</t>
        </is>
      </c>
      <c r="G31" s="35">
        <f>1-G30</f>
        <v/>
      </c>
      <c r="H31" s="33" t="inlineStr">
        <is>
          <t>SCILL incubation grant + Angel investor pool</t>
        </is>
      </c>
    </row>
    <row r="32">
      <c r="F32" s="30" t="inlineStr">
        <is>
          <t>Target National Expansion Campuses</t>
        </is>
      </c>
      <c r="G32" s="13" t="n">
        <v>500</v>
      </c>
      <c r="H32" s="33" t="inlineStr">
        <is>
          <t>Top universities &amp; engineering institutes in India</t>
        </is>
      </c>
    </row>
    <row r="33">
      <c r="F33" s="30" t="inlineStr">
        <is>
          <t>Goldmine Total Milestone Valuation</t>
        </is>
      </c>
      <c r="G33" s="36" t="n">
        <v>250000000</v>
      </c>
      <c r="H33" s="33" t="inlineStr">
        <is>
          <t>₹25.00 Cr (₹25,00,00,000) — User Defined Milestone Valuation</t>
        </is>
      </c>
    </row>
    <row r="34">
      <c r="F34" s="30" t="inlineStr">
        <is>
          <t>Goldmine Target Allocation %</t>
        </is>
      </c>
      <c r="G34" s="15" t="n">
        <v>0.05</v>
      </c>
      <c r="H34" s="33" t="inlineStr">
        <is>
          <t>5.0% Target Allocation requested by user</t>
        </is>
      </c>
    </row>
    <row r="35">
      <c r="F35" s="30" t="inlineStr">
        <is>
          <t>Goldmine 5% Target Amount</t>
        </is>
      </c>
      <c r="G35" s="37">
        <f>G33*G34</f>
        <v/>
      </c>
      <c r="H35" s="33" t="inlineStr">
        <is>
          <t>₹1,25,00,000 (₹1.25 Cr) — Achieved in Year 5 (₹1.35 Cr Net Profit)!</t>
        </is>
      </c>
    </row>
  </sheetData>
  <mergeCells count="14">
    <mergeCell ref="D6:E6"/>
    <mergeCell ref="B6:C6"/>
    <mergeCell ref="D8:E9"/>
    <mergeCell ref="F4:G5"/>
    <mergeCell ref="D4:E5"/>
    <mergeCell ref="B8:C9"/>
    <mergeCell ref="D10:E10"/>
    <mergeCell ref="F8:G9"/>
    <mergeCell ref="F10:G10"/>
    <mergeCell ref="A2:H2"/>
    <mergeCell ref="B10:C10"/>
    <mergeCell ref="F6:G6"/>
    <mergeCell ref="A1:H1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 ht="36" customHeight="1">
      <c r="A1" s="1" t="inlineStr">
        <is>
          <t xml:space="preserve">  FoodLine Campus — Financial Assumptions &amp; Model Drivers (4% Model)</t>
        </is>
      </c>
    </row>
    <row r="2" ht="20" customHeight="1">
      <c r="A2" s="2" t="inlineStr">
        <is>
          <t xml:space="preserve">  Master inputs driving Pilot Economics, 5-Year Growth Projections, and Viability Math</t>
        </is>
      </c>
    </row>
    <row r="3"/>
    <row r="4">
      <c r="A4" s="9" t="inlineStr">
        <is>
          <t>1. CAMPUS SCALE &amp; STUDENT TRAFFIC ASSUMPTIONS</t>
        </is>
      </c>
    </row>
    <row r="5">
      <c r="A5" s="10" t="inlineStr">
        <is>
          <t>Parameter</t>
        </is>
      </c>
      <c r="B5" s="29" t="inlineStr">
        <is>
          <t>Unit</t>
        </is>
      </c>
      <c r="C5" s="11" t="inlineStr">
        <is>
          <t>Year 1</t>
        </is>
      </c>
      <c r="D5" s="11" t="inlineStr">
        <is>
          <t>Year 2</t>
        </is>
      </c>
      <c r="E5" s="11" t="inlineStr">
        <is>
          <t>Year 3</t>
        </is>
      </c>
      <c r="F5" s="11" t="inlineStr">
        <is>
          <t>Year 4</t>
        </is>
      </c>
      <c r="G5" s="11" t="inlineStr">
        <is>
          <t>Year 5</t>
        </is>
      </c>
      <c r="H5" s="11" t="inlineStr">
        <is>
          <t>Strategic Basis</t>
        </is>
      </c>
    </row>
    <row r="6">
      <c r="A6" s="38" t="inlineStr">
        <is>
          <t>Active Campuses</t>
        </is>
      </c>
      <c r="B6" s="31" t="inlineStr">
        <is>
          <t>Campuses</t>
        </is>
      </c>
      <c r="C6" s="17">
        <f>'Executive Dashboard'!C14</f>
        <v/>
      </c>
      <c r="D6" s="17">
        <f>'Executive Dashboard'!D14</f>
        <v/>
      </c>
      <c r="E6" s="17">
        <f>'Executive Dashboard'!E14</f>
        <v/>
      </c>
      <c r="F6" s="17">
        <f>'Executive Dashboard'!F14</f>
        <v/>
      </c>
      <c r="G6" s="17">
        <f>'Executive Dashboard'!G14</f>
        <v/>
      </c>
      <c r="H6" s="33" t="inlineStr">
        <is>
          <t>Dynamically linked to Executive Dashboard</t>
        </is>
      </c>
    </row>
    <row r="7">
      <c r="A7" s="39" t="inlineStr">
        <is>
          <t>Total Students per Campus</t>
        </is>
      </c>
      <c r="B7" s="40" t="inlineStr">
        <is>
          <t>Students</t>
        </is>
      </c>
      <c r="C7" s="22">
        <f>'Executive Dashboard'!$D$29</f>
        <v/>
      </c>
      <c r="D7" s="22">
        <f>'Executive Dashboard'!$D$29</f>
        <v/>
      </c>
      <c r="E7" s="22">
        <f>'Executive Dashboard'!$D$29</f>
        <v/>
      </c>
      <c r="F7" s="22">
        <f>'Executive Dashboard'!$D$29</f>
        <v/>
      </c>
      <c r="G7" s="22">
        <f>'Executive Dashboard'!$D$29</f>
        <v/>
      </c>
      <c r="H7" s="33" t="inlineStr">
        <is>
          <t>Dynamically linked to Executive Dashboard</t>
        </is>
      </c>
    </row>
    <row r="8">
      <c r="A8" s="38" t="inlineStr">
        <is>
          <t>Active Student Penetration %</t>
        </is>
      </c>
      <c r="B8" s="31" t="inlineStr">
        <is>
          <t>%</t>
        </is>
      </c>
      <c r="C8" s="18">
        <f>'Executive Dashboard'!C15</f>
        <v/>
      </c>
      <c r="D8" s="18">
        <f>'Executive Dashboard'!D15</f>
        <v/>
      </c>
      <c r="E8" s="18">
        <f>'Executive Dashboard'!E15</f>
        <v/>
      </c>
      <c r="F8" s="18">
        <f>'Executive Dashboard'!F15</f>
        <v/>
      </c>
      <c r="G8" s="18">
        <f>'Executive Dashboard'!G15</f>
        <v/>
      </c>
      <c r="H8" s="33" t="inlineStr">
        <is>
          <t>Dynamically linked to Executive Dashboard (Editable per year!)</t>
        </is>
      </c>
    </row>
    <row r="9">
      <c r="A9" s="38" t="inlineStr">
        <is>
          <t>Active Students per Campus</t>
        </is>
      </c>
      <c r="B9" s="31" t="inlineStr">
        <is>
          <t>Students</t>
        </is>
      </c>
      <c r="C9" s="17">
        <f>C7*C8</f>
        <v/>
      </c>
      <c r="D9" s="17">
        <f>D7*D8</f>
        <v/>
      </c>
      <c r="E9" s="17">
        <f>E7*E8</f>
        <v/>
      </c>
      <c r="F9" s="17">
        <f>F7*F8</f>
        <v/>
      </c>
      <c r="G9" s="17">
        <f>G7*G8</f>
        <v/>
      </c>
      <c r="H9" s="33" t="inlineStr">
        <is>
          <t>Formula: Total Students * Penetration %</t>
        </is>
      </c>
    </row>
    <row r="10">
      <c r="A10" s="39" t="inlineStr">
        <is>
          <t>Total Active Students Across Network</t>
        </is>
      </c>
      <c r="B10" s="40" t="inlineStr">
        <is>
          <t>Students</t>
        </is>
      </c>
      <c r="C10" s="22">
        <f>C6*C9</f>
        <v/>
      </c>
      <c r="D10" s="22">
        <f>D6*D9</f>
        <v/>
      </c>
      <c r="E10" s="22">
        <f>E6*E9</f>
        <v/>
      </c>
      <c r="F10" s="22">
        <f>F6*F9</f>
        <v/>
      </c>
      <c r="G10" s="22">
        <f>G6*G9</f>
        <v/>
      </c>
      <c r="H10" s="33" t="inlineStr">
        <is>
          <t>Formula: Campuses * Active Students</t>
        </is>
      </c>
    </row>
    <row r="11">
      <c r="A11" s="38" t="inlineStr">
        <is>
          <t>Monthly Orders per Active Student</t>
        </is>
      </c>
      <c r="B11" s="31" t="inlineStr">
        <is>
          <t>Orders/Mo</t>
        </is>
      </c>
      <c r="C11" s="17">
        <f>'Executive Dashboard'!C17</f>
        <v/>
      </c>
      <c r="D11" s="17">
        <f>'Executive Dashboard'!D17</f>
        <v/>
      </c>
      <c r="E11" s="17">
        <f>'Executive Dashboard'!E17</f>
        <v/>
      </c>
      <c r="F11" s="17">
        <f>'Executive Dashboard'!F17</f>
        <v/>
      </c>
      <c r="G11" s="17">
        <f>'Executive Dashboard'!G17</f>
        <v/>
      </c>
      <c r="H11" s="33" t="inlineStr">
        <is>
          <t>Dynamically linked to Executive Dashboard (Editable per year!)</t>
        </is>
      </c>
    </row>
    <row r="12">
      <c r="A12" s="38" t="inlineStr">
        <is>
          <t>Operating Months per Year</t>
        </is>
      </c>
      <c r="B12" s="31" t="inlineStr">
        <is>
          <t>Months</t>
        </is>
      </c>
      <c r="C12" s="17">
        <f>'Executive Dashboard'!$D$30</f>
        <v/>
      </c>
      <c r="D12" s="17">
        <f>'Executive Dashboard'!$D$30</f>
        <v/>
      </c>
      <c r="E12" s="17">
        <f>'Executive Dashboard'!$D$30</f>
        <v/>
      </c>
      <c r="F12" s="17">
        <f>'Executive Dashboard'!$D$30</f>
        <v/>
      </c>
      <c r="G12" s="17">
        <f>'Executive Dashboard'!$D$30</f>
        <v/>
      </c>
      <c r="H12" s="33" t="inlineStr">
        <is>
          <t>Dynamically linked to Executive Dashboard</t>
        </is>
      </c>
    </row>
    <row r="13">
      <c r="A13" s="38" t="inlineStr">
        <is>
          <t>Annual Orders per Active Student</t>
        </is>
      </c>
      <c r="B13" s="31" t="inlineStr">
        <is>
          <t>Orders/Yr</t>
        </is>
      </c>
      <c r="C13" s="17">
        <f>C11*C12</f>
        <v/>
      </c>
      <c r="D13" s="17">
        <f>D11*D12</f>
        <v/>
      </c>
      <c r="E13" s="17">
        <f>E11*E12</f>
        <v/>
      </c>
      <c r="F13" s="17">
        <f>F11*F12</f>
        <v/>
      </c>
      <c r="G13" s="17">
        <f>G11*G12</f>
        <v/>
      </c>
      <c r="H13" s="33" t="inlineStr">
        <is>
          <t>Formula: Monthly Orders * Operating Months</t>
        </is>
      </c>
    </row>
    <row r="14"/>
    <row r="15"/>
    <row r="16">
      <c r="A16" s="9" t="inlineStr">
        <is>
          <t>2. REVENUE MODEL &amp; PRICING DRIVERS (SLIDE 7)</t>
        </is>
      </c>
    </row>
    <row r="17">
      <c r="A17" s="10" t="inlineStr">
        <is>
          <t>Parameter</t>
        </is>
      </c>
      <c r="B17" s="29" t="inlineStr">
        <is>
          <t>Unit</t>
        </is>
      </c>
      <c r="C17" s="11" t="inlineStr">
        <is>
          <t>Year 1</t>
        </is>
      </c>
      <c r="D17" s="11" t="inlineStr">
        <is>
          <t>Year 2</t>
        </is>
      </c>
      <c r="E17" s="11" t="inlineStr">
        <is>
          <t>Year 3</t>
        </is>
      </c>
      <c r="F17" s="11" t="inlineStr">
        <is>
          <t>Year 4</t>
        </is>
      </c>
      <c r="G17" s="11" t="inlineStr">
        <is>
          <t>Year 5</t>
        </is>
      </c>
      <c r="H17" s="11" t="inlineStr">
        <is>
          <t>Strategic Basis</t>
        </is>
      </c>
    </row>
    <row r="18">
      <c r="A18" s="38" t="inlineStr">
        <is>
          <t>Average Order Value (AOV)</t>
        </is>
      </c>
      <c r="B18" s="31" t="inlineStr">
        <is>
          <t>₹/Order</t>
        </is>
      </c>
      <c r="C18" s="41">
        <f>'Executive Dashboard'!$D$27</f>
        <v/>
      </c>
      <c r="D18" s="41">
        <f>'Executive Dashboard'!$D$27</f>
        <v/>
      </c>
      <c r="E18" s="41">
        <f>'Executive Dashboard'!$D$27</f>
        <v/>
      </c>
      <c r="F18" s="41">
        <f>'Executive Dashboard'!$D$27</f>
        <v/>
      </c>
      <c r="G18" s="41">
        <f>'Executive Dashboard'!$D$27</f>
        <v/>
      </c>
      <c r="H18" s="33" t="inlineStr">
        <is>
          <t>Dynamically linked to Executive Dashboard</t>
        </is>
      </c>
    </row>
    <row r="19">
      <c r="A19" s="38" t="inlineStr">
        <is>
          <t>Student Convenience Fee Rate</t>
        </is>
      </c>
      <c r="B19" s="31" t="inlineStr">
        <is>
          <t>%</t>
        </is>
      </c>
      <c r="C19" s="18">
        <f>'Executive Dashboard'!$D$28</f>
        <v/>
      </c>
      <c r="D19" s="18">
        <f>'Executive Dashboard'!$D$28</f>
        <v/>
      </c>
      <c r="E19" s="18">
        <f>'Executive Dashboard'!$D$28</f>
        <v/>
      </c>
      <c r="F19" s="18">
        <f>'Executive Dashboard'!$D$28</f>
        <v/>
      </c>
      <c r="G19" s="18">
        <f>'Executive Dashboard'!$D$28</f>
        <v/>
      </c>
      <c r="H19" s="33" t="inlineStr">
        <is>
          <t>Dynamically linked to Executive Dashboard</t>
        </is>
      </c>
    </row>
    <row r="20">
      <c r="A20" s="38" t="inlineStr">
        <is>
          <t>Canteen Commission Rate</t>
        </is>
      </c>
      <c r="B20" s="31" t="inlineStr">
        <is>
          <t>%</t>
        </is>
      </c>
      <c r="C20" s="18">
        <f>'Executive Dashboard'!$G$27</f>
        <v/>
      </c>
      <c r="D20" s="18">
        <f>'Executive Dashboard'!$G$27</f>
        <v/>
      </c>
      <c r="E20" s="18">
        <f>'Executive Dashboard'!$G$27</f>
        <v/>
      </c>
      <c r="F20" s="18">
        <f>'Executive Dashboard'!$G$27</f>
        <v/>
      </c>
      <c r="G20" s="18">
        <f>'Executive Dashboard'!$G$27</f>
        <v/>
      </c>
      <c r="H20" s="33" t="inlineStr">
        <is>
          <t>100% Free for canteens</t>
        </is>
      </c>
    </row>
    <row r="21">
      <c r="A21" s="38" t="inlineStr">
        <is>
          <t>Payment Gateway MDR (Direct UPI)</t>
        </is>
      </c>
      <c r="B21" s="31" t="inlineStr">
        <is>
          <t>%</t>
        </is>
      </c>
      <c r="C21" s="18">
        <f>'Executive Dashboard'!$G$28</f>
        <v/>
      </c>
      <c r="D21" s="18">
        <f>'Executive Dashboard'!$G$28</f>
        <v/>
      </c>
      <c r="E21" s="18">
        <f>'Executive Dashboard'!$G$28</f>
        <v/>
      </c>
      <c r="F21" s="18">
        <f>'Executive Dashboard'!$G$28</f>
        <v/>
      </c>
      <c r="G21" s="18">
        <f>'Executive Dashboard'!$G$28</f>
        <v/>
      </c>
      <c r="H21" s="33" t="inlineStr">
        <is>
          <t>Direct UPI rail (0% MDR)</t>
        </is>
      </c>
    </row>
    <row r="22">
      <c r="A22" s="38" t="inlineStr">
        <is>
          <t>KDS Kitchen Software Fee</t>
        </is>
      </c>
      <c r="B22" s="31" t="inlineStr">
        <is>
          <t>₹/Month</t>
        </is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33" t="inlineStr">
        <is>
          <t>100% Free KDS tablet software for canteens</t>
        </is>
      </c>
    </row>
    <row r="23"/>
    <row r="24">
      <c r="A24" s="9" t="inlineStr">
        <is>
          <t>3. UNIT COSTS &amp; EXPENSES (COGS &amp; LEAN OPEX)</t>
        </is>
      </c>
    </row>
    <row r="25">
      <c r="A25" s="10" t="inlineStr">
        <is>
          <t>Parameter</t>
        </is>
      </c>
      <c r="B25" s="29" t="inlineStr">
        <is>
          <t>Unit</t>
        </is>
      </c>
      <c r="C25" s="11" t="inlineStr">
        <is>
          <t>Year 1</t>
        </is>
      </c>
      <c r="D25" s="11" t="inlineStr">
        <is>
          <t>Year 2</t>
        </is>
      </c>
      <c r="E25" s="11" t="inlineStr">
        <is>
          <t>Year 3</t>
        </is>
      </c>
      <c r="F25" s="11" t="inlineStr">
        <is>
          <t>Year 4</t>
        </is>
      </c>
      <c r="G25" s="11" t="inlineStr">
        <is>
          <t>Year 5</t>
        </is>
      </c>
      <c r="H25" s="11" t="inlineStr">
        <is>
          <t>Strategic Basis</t>
        </is>
      </c>
    </row>
    <row r="26">
      <c r="A26" s="38" t="inlineStr">
        <is>
          <t>Direct Variable Tech Cost per Order</t>
        </is>
      </c>
      <c r="B26" s="31" t="inlineStr">
        <is>
          <t>₹/Order</t>
        </is>
      </c>
      <c r="C26" s="41">
        <f>'Executive Dashboard'!$D$31</f>
        <v/>
      </c>
      <c r="D26" s="41">
        <f>'Executive Dashboard'!$D$31</f>
        <v/>
      </c>
      <c r="E26" s="41">
        <f>'Executive Dashboard'!$D$31</f>
        <v/>
      </c>
      <c r="F26" s="41">
        <f>'Executive Dashboard'!$D$31</f>
        <v/>
      </c>
      <c r="G26" s="41">
        <f>'Executive Dashboard'!$D$31</f>
        <v/>
      </c>
      <c r="H26" s="33" t="inlineStr">
        <is>
          <t>SMS OTP, Supabase DB &amp; server costs</t>
        </is>
      </c>
    </row>
    <row r="27">
      <c r="A27" s="38" t="inlineStr">
        <is>
          <t>Lean Annual OPEX</t>
        </is>
      </c>
      <c r="B27" s="31" t="inlineStr">
        <is>
          <t>₹/Year</t>
        </is>
      </c>
      <c r="C27" s="26">
        <f>'Executive Dashboard'!C21</f>
        <v/>
      </c>
      <c r="D27" s="26">
        <f>'Executive Dashboard'!D21</f>
        <v/>
      </c>
      <c r="E27" s="26">
        <f>'Executive Dashboard'!E21</f>
        <v/>
      </c>
      <c r="F27" s="26">
        <f>'Executive Dashboard'!F21</f>
        <v/>
      </c>
      <c r="G27" s="26">
        <f>'Executive Dashboard'!G21</f>
        <v/>
      </c>
      <c r="H27" s="33" t="inlineStr">
        <is>
          <t>Dynamically linked to Executive Dashboard</t>
        </is>
      </c>
    </row>
    <row r="28">
      <c r="A28" s="38" t="inlineStr">
        <is>
          <t>Lean Monthly OPEX</t>
        </is>
      </c>
      <c r="B28" s="31" t="inlineStr">
        <is>
          <t>₹/Month</t>
        </is>
      </c>
      <c r="C28" s="26">
        <f>C27/12</f>
        <v/>
      </c>
      <c r="D28" s="26">
        <f>D27/12</f>
        <v/>
      </c>
      <c r="E28" s="26">
        <f>E27/12</f>
        <v/>
      </c>
      <c r="F28" s="26">
        <f>F27/12</f>
        <v/>
      </c>
      <c r="G28" s="26">
        <f>G27/12</f>
        <v/>
      </c>
      <c r="H28" s="33" t="inlineStr">
        <is>
          <t>Monthly overhead budget per year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8" customWidth="1" min="1" max="1"/>
    <col width="34" customWidth="1" min="2" max="2"/>
    <col width="20" customWidth="1" min="3" max="3"/>
    <col width="18" customWidth="1" min="4" max="4"/>
    <col width="48" customWidth="1" min="5" max="5"/>
    <col width="36" customWidth="1" min="6" max="6"/>
    <col width="17" customWidth="1" min="7" max="7"/>
    <col width="70" customWidth="1" min="8" max="8"/>
    <col width="22" customWidth="1" min="9" max="9"/>
  </cols>
  <sheetData>
    <row r="1" ht="36" customHeight="1">
      <c r="A1" s="1" t="inlineStr">
        <is>
          <t xml:space="preserve">  FoodLine Campus — Single-Campus Pilot Unit Economics (Slide 8)</t>
        </is>
      </c>
    </row>
    <row r="2" ht="20" customHeight="1">
      <c r="A2" s="2" t="inlineStr">
        <is>
          <t xml:space="preserve">  4% Student Convenience Fee Model at Sanjivani University Cafe @7 (2,500 Students)</t>
        </is>
      </c>
    </row>
    <row r="3"/>
    <row r="4">
      <c r="A4" s="9" t="inlineStr">
        <is>
          <t>PILOT SCALE METRICS (SANJIVANI UNIVERSITY CAFE @7)</t>
        </is>
      </c>
    </row>
    <row r="5">
      <c r="B5" s="42">
        <f>'Executive Dashboard'!$D$29</f>
        <v/>
      </c>
      <c r="C5" s="42">
        <f>B5*'Executive Dashboard'!C15</f>
        <v/>
      </c>
      <c r="D5" s="42">
        <f>C5*('Executive Dashboard'!C17*'Executive Dashboard'!$D$30)</f>
        <v/>
      </c>
      <c r="E5" s="3">
        <f>D5*'Executive Dashboard'!$D$27</f>
        <v/>
      </c>
    </row>
    <row r="6"/>
    <row r="7">
      <c r="B7" s="6" t="inlineStr">
        <is>
          <t>TOTAL CAMPUS STUDENTS</t>
        </is>
      </c>
      <c r="C7" s="6" t="inlineStr">
        <is>
          <t>ACTIVE USERS (ADOPTION RATE)</t>
        </is>
      </c>
      <c r="D7" s="6" t="inlineStr">
        <is>
          <t>ANNUAL ORDERS (MONTHLY FREQ)</t>
        </is>
      </c>
      <c r="E7" s="6" t="inlineStr">
        <is>
          <t>ANNUAL GMV (@ AOV)</t>
        </is>
      </c>
    </row>
    <row r="8"/>
    <row r="9">
      <c r="A9" s="9" t="inlineStr">
        <is>
          <t>PILOT ANNUAL INCOME STATEMENT (EXACT SLIDE 8 TABLE)</t>
        </is>
      </c>
    </row>
    <row r="10">
      <c r="A10" s="10" t="inlineStr">
        <is>
          <t>Financial Item</t>
        </is>
      </c>
      <c r="B10" s="10" t="inlineStr">
        <is>
          <t>Derivation / Formula</t>
        </is>
      </c>
      <c r="C10" s="11" t="inlineStr">
        <is>
          <t>Annual Amount</t>
        </is>
      </c>
      <c r="D10" s="11" t="inlineStr">
        <is>
          <t>% of Revenue</t>
        </is>
      </c>
      <c r="E10" s="10" t="inlineStr">
        <is>
          <t>Strategic Context</t>
        </is>
      </c>
    </row>
    <row r="11">
      <c r="A11" s="30" t="inlineStr">
        <is>
          <t>Gross Merchandise Value (GMV @ AOV)</t>
        </is>
      </c>
      <c r="B11" s="38" t="inlineStr">
        <is>
          <t>Annual Orders * AOV</t>
        </is>
      </c>
      <c r="C11" s="34">
        <f>E5</f>
        <v/>
      </c>
      <c r="D11" s="43" t="inlineStr">
        <is>
          <t>-</t>
        </is>
      </c>
      <c r="E11" s="33" t="inlineStr">
        <is>
          <t>Total food sales transacted through platform</t>
        </is>
      </c>
    </row>
    <row r="12">
      <c r="A12" s="24" t="inlineStr">
        <is>
          <t>FoodLine Revenue (4% Student Convenience Fee)</t>
        </is>
      </c>
      <c r="B12" s="38" t="inlineStr">
        <is>
          <t>GMV * Convenience Fee %</t>
        </is>
      </c>
      <c r="C12" s="25">
        <f>C11*'Executive Dashboard'!$D$28</f>
        <v/>
      </c>
      <c r="D12" s="44">
        <f>C12/C12</f>
        <v/>
      </c>
      <c r="E12" s="33" t="inlineStr">
        <is>
          <t>Paid by students to skip 20-min wait</t>
        </is>
      </c>
    </row>
    <row r="13">
      <c r="A13" s="16" t="inlineStr">
        <is>
          <t>Direct Variable Tech Cost (~₹0.30/order SMS/Server)</t>
        </is>
      </c>
      <c r="B13" s="38" t="inlineStr">
        <is>
          <t>Annual Orders * Variable Tech Cost</t>
        </is>
      </c>
      <c r="C13" s="26">
        <f>D5*'Executive Dashboard'!$D$31</f>
        <v/>
      </c>
      <c r="D13" s="18">
        <f>C13/C12</f>
        <v/>
      </c>
      <c r="E13" s="33" t="inlineStr">
        <is>
          <t>SMS OTP, Supabase real-time SSE stream</t>
        </is>
      </c>
    </row>
    <row r="14">
      <c r="A14" s="27" t="inlineStr">
        <is>
          <t>Gross Profit</t>
        </is>
      </c>
      <c r="B14" s="38" t="inlineStr">
        <is>
          <t>Revenue - Variable Tech Cost</t>
        </is>
      </c>
      <c r="C14" s="28">
        <f>C12-C13</f>
        <v/>
      </c>
      <c r="D14" s="45">
        <f>C14/C12</f>
        <v/>
      </c>
      <c r="E14" s="33" t="inlineStr">
        <is>
          <t>High gross margin digital rail (&gt;90%)</t>
        </is>
      </c>
    </row>
    <row r="15">
      <c r="A15" s="16" t="inlineStr">
        <is>
          <t>Lean Campus OPEX (Hosting + Lead + Marketing)</t>
        </is>
      </c>
      <c r="B15" s="38" t="inlineStr">
        <is>
          <t>Executive Dashboard Year 1 OPEX</t>
        </is>
      </c>
      <c r="C15" s="26">
        <f>'Executive Dashboard'!C21</f>
        <v/>
      </c>
      <c r="D15" s="18">
        <f>C15/C12</f>
        <v/>
      </c>
      <c r="E15" s="33" t="inlineStr">
        <is>
          <t>Cloud hosting + campus lead stipend + QR tents</t>
        </is>
      </c>
    </row>
    <row r="16">
      <c r="A16" s="27" t="inlineStr">
        <is>
          <t>NET PROFIT</t>
        </is>
      </c>
      <c r="B16" s="38" t="inlineStr">
        <is>
          <t>Gross Profit - Lean Campus OPEX</t>
        </is>
      </c>
      <c r="C16" s="28">
        <f>C14-C15</f>
        <v/>
      </c>
      <c r="D16" s="45">
        <f>C16/C12</f>
        <v/>
      </c>
      <c r="E16" s="33" t="inlineStr">
        <is>
          <t>Outstanding single-campus profitability</t>
        </is>
      </c>
    </row>
    <row r="17"/>
    <row r="18"/>
    <row r="19">
      <c r="A19" s="9" t="inlineStr">
        <is>
          <t>PILOT MONTHLY RUN-RATE BREAKDOWN (12 MONTHS)</t>
        </is>
      </c>
    </row>
    <row r="20">
      <c r="A20" s="10" t="inlineStr">
        <is>
          <t>Month</t>
        </is>
      </c>
      <c r="B20" s="11" t="inlineStr">
        <is>
          <t>Active Students</t>
        </is>
      </c>
      <c r="C20" s="11" t="inlineStr">
        <is>
          <t>Orders / Mo</t>
        </is>
      </c>
      <c r="D20" s="11" t="inlineStr">
        <is>
          <t>Monthly GMV (₹)</t>
        </is>
      </c>
      <c r="E20" s="11" t="inlineStr">
        <is>
          <t>Revenue (4%)</t>
        </is>
      </c>
      <c r="F20" s="11" t="inlineStr">
        <is>
          <t>Tech Cost (₹0.30)</t>
        </is>
      </c>
      <c r="G20" s="11" t="inlineStr">
        <is>
          <t>Gross Profit</t>
        </is>
      </c>
      <c r="H20" s="11" t="inlineStr">
        <is>
          <t>Monthly OPEX</t>
        </is>
      </c>
      <c r="I20" s="11" t="inlineStr">
        <is>
          <t>Monthly Net Profit</t>
        </is>
      </c>
    </row>
    <row r="21">
      <c r="A21" s="46" t="inlineStr">
        <is>
          <t>Month 1</t>
        </is>
      </c>
      <c r="B21" s="47">
        <f>'Single-Campus Pilot Economics'!$C$5</f>
        <v/>
      </c>
      <c r="C21" s="47">
        <f>B21*'Executive Dashboard'!C17</f>
        <v/>
      </c>
      <c r="D21" s="48">
        <f>C21*'Executive Dashboard'!$D$27</f>
        <v/>
      </c>
      <c r="E21" s="48">
        <f>D21*'Executive Dashboard'!$D$28</f>
        <v/>
      </c>
      <c r="F21" s="48">
        <f>C21*'Executive Dashboard'!$D$31</f>
        <v/>
      </c>
      <c r="G21" s="48">
        <f>E21-F21</f>
        <v/>
      </c>
      <c r="H21" s="48">
        <f>'Single-Campus Pilot Economics'!$C$15/'Executive Dashboard'!$D$30</f>
        <v/>
      </c>
      <c r="I21" s="28">
        <f>G21-H21</f>
        <v/>
      </c>
    </row>
    <row r="22">
      <c r="A22" s="46" t="inlineStr">
        <is>
          <t>Month 2</t>
        </is>
      </c>
      <c r="B22" s="47">
        <f>'Single-Campus Pilot Economics'!$C$5</f>
        <v/>
      </c>
      <c r="C22" s="47">
        <f>B22*'Executive Dashboard'!C17</f>
        <v/>
      </c>
      <c r="D22" s="48">
        <f>C22*'Executive Dashboard'!$D$27</f>
        <v/>
      </c>
      <c r="E22" s="48">
        <f>D22*'Executive Dashboard'!$D$28</f>
        <v/>
      </c>
      <c r="F22" s="48">
        <f>C22*'Executive Dashboard'!$D$31</f>
        <v/>
      </c>
      <c r="G22" s="48">
        <f>E22-F22</f>
        <v/>
      </c>
      <c r="H22" s="48">
        <f>'Single-Campus Pilot Economics'!$C$15/'Executive Dashboard'!$D$30</f>
        <v/>
      </c>
      <c r="I22" s="28">
        <f>G22-H22</f>
        <v/>
      </c>
    </row>
    <row r="23">
      <c r="A23" s="46" t="inlineStr">
        <is>
          <t>Month 3</t>
        </is>
      </c>
      <c r="B23" s="47">
        <f>'Single-Campus Pilot Economics'!$C$5</f>
        <v/>
      </c>
      <c r="C23" s="47">
        <f>B23*'Executive Dashboard'!C17</f>
        <v/>
      </c>
      <c r="D23" s="48">
        <f>C23*'Executive Dashboard'!$D$27</f>
        <v/>
      </c>
      <c r="E23" s="48">
        <f>D23*'Executive Dashboard'!$D$28</f>
        <v/>
      </c>
      <c r="F23" s="48">
        <f>C23*'Executive Dashboard'!$D$31</f>
        <v/>
      </c>
      <c r="G23" s="48">
        <f>E23-F23</f>
        <v/>
      </c>
      <c r="H23" s="48">
        <f>'Single-Campus Pilot Economics'!$C$15/'Executive Dashboard'!$D$30</f>
        <v/>
      </c>
      <c r="I23" s="28">
        <f>G23-H23</f>
        <v/>
      </c>
    </row>
    <row r="24">
      <c r="A24" s="46" t="inlineStr">
        <is>
          <t>Month 4</t>
        </is>
      </c>
      <c r="B24" s="47">
        <f>'Single-Campus Pilot Economics'!$C$5</f>
        <v/>
      </c>
      <c r="C24" s="47">
        <f>B24*'Executive Dashboard'!C17</f>
        <v/>
      </c>
      <c r="D24" s="48">
        <f>C24*'Executive Dashboard'!$D$27</f>
        <v/>
      </c>
      <c r="E24" s="48">
        <f>D24*'Executive Dashboard'!$D$28</f>
        <v/>
      </c>
      <c r="F24" s="48">
        <f>C24*'Executive Dashboard'!$D$31</f>
        <v/>
      </c>
      <c r="G24" s="48">
        <f>E24-F24</f>
        <v/>
      </c>
      <c r="H24" s="48">
        <f>'Single-Campus Pilot Economics'!$C$15/'Executive Dashboard'!$D$30</f>
        <v/>
      </c>
      <c r="I24" s="28">
        <f>G24-H24</f>
        <v/>
      </c>
    </row>
    <row r="25">
      <c r="A25" s="46" t="inlineStr">
        <is>
          <t>Month 5</t>
        </is>
      </c>
      <c r="B25" s="47">
        <f>'Single-Campus Pilot Economics'!$C$5</f>
        <v/>
      </c>
      <c r="C25" s="47">
        <f>B25*'Executive Dashboard'!C17</f>
        <v/>
      </c>
      <c r="D25" s="48">
        <f>C25*'Executive Dashboard'!$D$27</f>
        <v/>
      </c>
      <c r="E25" s="48">
        <f>D25*'Executive Dashboard'!$D$28</f>
        <v/>
      </c>
      <c r="F25" s="48">
        <f>C25*'Executive Dashboard'!$D$31</f>
        <v/>
      </c>
      <c r="G25" s="48">
        <f>E25-F25</f>
        <v/>
      </c>
      <c r="H25" s="48">
        <f>'Single-Campus Pilot Economics'!$C$15/'Executive Dashboard'!$D$30</f>
        <v/>
      </c>
      <c r="I25" s="28">
        <f>G25-H25</f>
        <v/>
      </c>
    </row>
    <row r="26">
      <c r="A26" s="46" t="inlineStr">
        <is>
          <t>Month 6</t>
        </is>
      </c>
      <c r="B26" s="47">
        <f>'Single-Campus Pilot Economics'!$C$5</f>
        <v/>
      </c>
      <c r="C26" s="47">
        <f>B26*'Executive Dashboard'!C17</f>
        <v/>
      </c>
      <c r="D26" s="48">
        <f>C26*'Executive Dashboard'!$D$27</f>
        <v/>
      </c>
      <c r="E26" s="48">
        <f>D26*'Executive Dashboard'!$D$28</f>
        <v/>
      </c>
      <c r="F26" s="48">
        <f>C26*'Executive Dashboard'!$D$31</f>
        <v/>
      </c>
      <c r="G26" s="48">
        <f>E26-F26</f>
        <v/>
      </c>
      <c r="H26" s="48">
        <f>'Single-Campus Pilot Economics'!$C$15/'Executive Dashboard'!$D$30</f>
        <v/>
      </c>
      <c r="I26" s="28">
        <f>G26-H26</f>
        <v/>
      </c>
    </row>
    <row r="27">
      <c r="A27" s="46" t="inlineStr">
        <is>
          <t>Month 7</t>
        </is>
      </c>
      <c r="B27" s="47">
        <f>'Single-Campus Pilot Economics'!$C$5</f>
        <v/>
      </c>
      <c r="C27" s="47">
        <f>B27*'Executive Dashboard'!C17</f>
        <v/>
      </c>
      <c r="D27" s="48">
        <f>C27*'Executive Dashboard'!$D$27</f>
        <v/>
      </c>
      <c r="E27" s="48">
        <f>D27*'Executive Dashboard'!$D$28</f>
        <v/>
      </c>
      <c r="F27" s="48">
        <f>C27*'Executive Dashboard'!$D$31</f>
        <v/>
      </c>
      <c r="G27" s="48">
        <f>E27-F27</f>
        <v/>
      </c>
      <c r="H27" s="48">
        <f>'Single-Campus Pilot Economics'!$C$15/'Executive Dashboard'!$D$30</f>
        <v/>
      </c>
      <c r="I27" s="28">
        <f>G27-H27</f>
        <v/>
      </c>
    </row>
    <row r="28">
      <c r="A28" s="46" t="inlineStr">
        <is>
          <t>Month 8</t>
        </is>
      </c>
      <c r="B28" s="47">
        <f>'Single-Campus Pilot Economics'!$C$5</f>
        <v/>
      </c>
      <c r="C28" s="47">
        <f>B28*'Executive Dashboard'!C17</f>
        <v/>
      </c>
      <c r="D28" s="48">
        <f>C28*'Executive Dashboard'!$D$27</f>
        <v/>
      </c>
      <c r="E28" s="48">
        <f>D28*'Executive Dashboard'!$D$28</f>
        <v/>
      </c>
      <c r="F28" s="48">
        <f>C28*'Executive Dashboard'!$D$31</f>
        <v/>
      </c>
      <c r="G28" s="48">
        <f>E28-F28</f>
        <v/>
      </c>
      <c r="H28" s="48">
        <f>'Single-Campus Pilot Economics'!$C$15/'Executive Dashboard'!$D$30</f>
        <v/>
      </c>
      <c r="I28" s="28">
        <f>G28-H28</f>
        <v/>
      </c>
    </row>
    <row r="29">
      <c r="A29" s="46" t="inlineStr">
        <is>
          <t>Month 9</t>
        </is>
      </c>
      <c r="B29" s="47">
        <f>'Single-Campus Pilot Economics'!$C$5</f>
        <v/>
      </c>
      <c r="C29" s="47">
        <f>B29*'Executive Dashboard'!C17</f>
        <v/>
      </c>
      <c r="D29" s="48">
        <f>C29*'Executive Dashboard'!$D$27</f>
        <v/>
      </c>
      <c r="E29" s="48">
        <f>D29*'Executive Dashboard'!$D$28</f>
        <v/>
      </c>
      <c r="F29" s="48">
        <f>C29*'Executive Dashboard'!$D$31</f>
        <v/>
      </c>
      <c r="G29" s="48">
        <f>E29-F29</f>
        <v/>
      </c>
      <c r="H29" s="48">
        <f>'Single-Campus Pilot Economics'!$C$15/'Executive Dashboard'!$D$30</f>
        <v/>
      </c>
      <c r="I29" s="28">
        <f>G29-H29</f>
        <v/>
      </c>
    </row>
    <row r="30">
      <c r="A30" s="46" t="inlineStr">
        <is>
          <t>Month 10</t>
        </is>
      </c>
      <c r="B30" s="47">
        <f>'Single-Campus Pilot Economics'!$C$5</f>
        <v/>
      </c>
      <c r="C30" s="47">
        <f>B30*'Executive Dashboard'!C17</f>
        <v/>
      </c>
      <c r="D30" s="48">
        <f>C30*'Executive Dashboard'!$D$27</f>
        <v/>
      </c>
      <c r="E30" s="48">
        <f>D30*'Executive Dashboard'!$D$28</f>
        <v/>
      </c>
      <c r="F30" s="48">
        <f>C30*'Executive Dashboard'!$D$31</f>
        <v/>
      </c>
      <c r="G30" s="48">
        <f>E30-F30</f>
        <v/>
      </c>
      <c r="H30" s="48">
        <f>'Single-Campus Pilot Economics'!$C$15/'Executive Dashboard'!$D$30</f>
        <v/>
      </c>
      <c r="I30" s="28">
        <f>G30-H30</f>
        <v/>
      </c>
    </row>
    <row r="31">
      <c r="A31" s="46" t="inlineStr">
        <is>
          <t>Month 11</t>
        </is>
      </c>
      <c r="B31" s="47">
        <f>'Single-Campus Pilot Economics'!$C$5</f>
        <v/>
      </c>
      <c r="C31" s="47">
        <f>B31*'Executive Dashboard'!C17</f>
        <v/>
      </c>
      <c r="D31" s="48">
        <f>C31*'Executive Dashboard'!$D$27</f>
        <v/>
      </c>
      <c r="E31" s="48">
        <f>D31*'Executive Dashboard'!$D$28</f>
        <v/>
      </c>
      <c r="F31" s="48">
        <f>C31*'Executive Dashboard'!$D$31</f>
        <v/>
      </c>
      <c r="G31" s="48">
        <f>E31-F31</f>
        <v/>
      </c>
      <c r="H31" s="48">
        <f>'Single-Campus Pilot Economics'!$C$15/'Executive Dashboard'!$D$30</f>
        <v/>
      </c>
      <c r="I31" s="28">
        <f>G31-H31</f>
        <v/>
      </c>
    </row>
    <row r="32">
      <c r="A32" s="46" t="inlineStr">
        <is>
          <t>Month 12</t>
        </is>
      </c>
      <c r="B32" s="47">
        <f>'Single-Campus Pilot Economics'!$C$5</f>
        <v/>
      </c>
      <c r="C32" s="47">
        <f>B32*'Executive Dashboard'!C17</f>
        <v/>
      </c>
      <c r="D32" s="48">
        <f>C32*'Executive Dashboard'!$D$27</f>
        <v/>
      </c>
      <c r="E32" s="48">
        <f>D32*'Executive Dashboard'!$D$28</f>
        <v/>
      </c>
      <c r="F32" s="48">
        <f>C32*'Executive Dashboard'!$D$31</f>
        <v/>
      </c>
      <c r="G32" s="48">
        <f>E32-F32</f>
        <v/>
      </c>
      <c r="H32" s="48">
        <f>'Single-Campus Pilot Economics'!$C$15/'Executive Dashboard'!$D$30</f>
        <v/>
      </c>
      <c r="I32" s="28">
        <f>G32-H32</f>
        <v/>
      </c>
    </row>
    <row r="33">
      <c r="A33" s="49" t="inlineStr">
        <is>
          <t>FULL YEAR TOTAL</t>
        </is>
      </c>
      <c r="B33" s="50" t="inlineStr">
        <is>
          <t>-</t>
        </is>
      </c>
      <c r="C33" s="51">
        <f>SUM(C21:C32)</f>
        <v/>
      </c>
      <c r="D33" s="52">
        <f>SUM(D21:D32)</f>
        <v/>
      </c>
      <c r="E33" s="52">
        <f>SUM(E21:E32)</f>
        <v/>
      </c>
      <c r="F33" s="52">
        <f>SUM(F21:F32)</f>
        <v/>
      </c>
      <c r="G33" s="52">
        <f>SUM(G21:G32)</f>
        <v/>
      </c>
      <c r="H33" s="52">
        <f>SUM(H21:H32)</f>
        <v/>
      </c>
      <c r="I33" s="53">
        <f>SUM(I21:I32)</f>
        <v/>
      </c>
    </row>
  </sheetData>
  <mergeCells count="6">
    <mergeCell ref="A2:F2"/>
    <mergeCell ref="E5:E6"/>
    <mergeCell ref="A1:F1"/>
    <mergeCell ref="C5:C6"/>
    <mergeCell ref="B5:B6"/>
    <mergeCell ref="D5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4" customWidth="1" min="8" max="8"/>
  </cols>
  <sheetData>
    <row r="1" ht="36" customHeight="1">
      <c r="A1" s="1" t="inlineStr">
        <is>
          <t xml:space="preserve">  FoodLine Campus — 5-Year Growth Projections &amp; Scale Model (Slide 11)</t>
        </is>
      </c>
    </row>
    <row r="2" ht="20" customHeight="1">
      <c r="A2" s="2" t="inlineStr">
        <is>
          <t xml:space="preserve">  Expansion across Campuses (4% Student Model) — Target Achieved in Year 5!</t>
        </is>
      </c>
    </row>
    <row r="3"/>
    <row r="4">
      <c r="A4" s="10" t="inlineStr">
        <is>
          <t>Metric</t>
        </is>
      </c>
      <c r="B4" s="10" t="inlineStr">
        <is>
          <t>Derivation / Basis</t>
        </is>
      </c>
      <c r="C4" s="11" t="inlineStr">
        <is>
          <t>Year 1</t>
        </is>
      </c>
      <c r="D4" s="11" t="inlineStr">
        <is>
          <t>Year 2</t>
        </is>
      </c>
      <c r="E4" s="11" t="inlineStr">
        <is>
          <t>Year 3</t>
        </is>
      </c>
      <c r="F4" s="11" t="inlineStr">
        <is>
          <t>Year 4</t>
        </is>
      </c>
      <c r="G4" s="11" t="inlineStr">
        <is>
          <t>Year 5</t>
        </is>
      </c>
      <c r="H4" s="11" t="inlineStr">
        <is>
          <t>5-Year Cumulative / CAGR</t>
        </is>
      </c>
    </row>
    <row r="5">
      <c r="A5" s="16" t="inlineStr">
        <is>
          <t>Active Campuses</t>
        </is>
      </c>
      <c r="B5" s="38" t="inlineStr">
        <is>
          <t>Target expansion campuses</t>
        </is>
      </c>
      <c r="C5" s="17">
        <f>'Executive Dashboard'!C14</f>
        <v/>
      </c>
      <c r="D5" s="17">
        <f>'Executive Dashboard'!D14</f>
        <v/>
      </c>
      <c r="E5" s="17">
        <f>'Executive Dashboard'!E14</f>
        <v/>
      </c>
      <c r="F5" s="17">
        <f>'Executive Dashboard'!F14</f>
        <v/>
      </c>
      <c r="G5" s="17">
        <f>'Executive Dashboard'!G14</f>
        <v/>
      </c>
      <c r="H5" s="22">
        <f>(G5/C5)^(1/4)-1</f>
        <v/>
      </c>
    </row>
    <row r="6">
      <c r="A6" s="16" t="inlineStr">
        <is>
          <t>Student Adoption Rate %</t>
        </is>
      </c>
      <c r="B6" s="38" t="inlineStr">
        <is>
          <t>Penetration of campus student body</t>
        </is>
      </c>
      <c r="C6" s="18">
        <f>'Executive Dashboard'!C15</f>
        <v/>
      </c>
      <c r="D6" s="18">
        <f>'Executive Dashboard'!D15</f>
        <v/>
      </c>
      <c r="E6" s="18">
        <f>'Executive Dashboard'!E15</f>
        <v/>
      </c>
      <c r="F6" s="18">
        <f>'Executive Dashboard'!F15</f>
        <v/>
      </c>
      <c r="G6" s="18">
        <f>'Executive Dashboard'!G15</f>
        <v/>
      </c>
      <c r="H6" s="14">
        <f>AVERAGE(C6:G6)</f>
        <v/>
      </c>
    </row>
    <row r="7">
      <c r="A7" s="16" t="inlineStr">
        <is>
          <t>Active Students</t>
        </is>
      </c>
      <c r="B7" s="38" t="inlineStr">
        <is>
          <t>Campuses * Students/Campus * Adoption %</t>
        </is>
      </c>
      <c r="C7" s="17">
        <f>'Executive Dashboard'!C16</f>
        <v/>
      </c>
      <c r="D7" s="17">
        <f>'Executive Dashboard'!D16</f>
        <v/>
      </c>
      <c r="E7" s="17">
        <f>'Executive Dashboard'!E16</f>
        <v/>
      </c>
      <c r="F7" s="17">
        <f>'Executive Dashboard'!F16</f>
        <v/>
      </c>
      <c r="G7" s="17">
        <f>'Executive Dashboard'!G16</f>
        <v/>
      </c>
      <c r="H7" s="22">
        <f>(G7/C7)^(1/4)-1</f>
        <v/>
      </c>
    </row>
    <row r="8">
      <c r="A8" s="16" t="inlineStr">
        <is>
          <t>Monthly Orders / Student</t>
        </is>
      </c>
      <c r="B8" s="38" t="inlineStr">
        <is>
          <t>Monthly order frequency per student</t>
        </is>
      </c>
      <c r="C8" s="54">
        <f>'Executive Dashboard'!C17</f>
        <v/>
      </c>
      <c r="D8" s="54">
        <f>'Executive Dashboard'!D17</f>
        <v/>
      </c>
      <c r="E8" s="54">
        <f>'Executive Dashboard'!E17</f>
        <v/>
      </c>
      <c r="F8" s="54">
        <f>'Executive Dashboard'!F17</f>
        <v/>
      </c>
      <c r="G8" s="54">
        <f>'Executive Dashboard'!G17</f>
        <v/>
      </c>
      <c r="H8" s="20">
        <f>AVERAGE(C8:G8)</f>
        <v/>
      </c>
    </row>
    <row r="9">
      <c r="A9" s="16" t="inlineStr">
        <is>
          <t>Annual Orders</t>
        </is>
      </c>
      <c r="B9" s="38" t="inlineStr">
        <is>
          <t>Active Students * Monthly Orders * Operating Months</t>
        </is>
      </c>
      <c r="C9" s="17">
        <f>'Executive Dashboard'!C18</f>
        <v/>
      </c>
      <c r="D9" s="17">
        <f>'Executive Dashboard'!D18</f>
        <v/>
      </c>
      <c r="E9" s="17">
        <f>'Executive Dashboard'!E18</f>
        <v/>
      </c>
      <c r="F9" s="17">
        <f>'Executive Dashboard'!F18</f>
        <v/>
      </c>
      <c r="G9" s="17">
        <f>'Executive Dashboard'!G18</f>
        <v/>
      </c>
      <c r="H9" s="22">
        <f>SUM(C9:G9)</f>
        <v/>
      </c>
    </row>
    <row r="10">
      <c r="A10" s="21" t="inlineStr">
        <is>
          <t>Annual GMV</t>
        </is>
      </c>
      <c r="B10" s="38" t="inlineStr">
        <is>
          <t>Annual Orders * AOV</t>
        </is>
      </c>
      <c r="C10" s="23">
        <f>'Executive Dashboard'!C19</f>
        <v/>
      </c>
      <c r="D10" s="23">
        <f>'Executive Dashboard'!D19</f>
        <v/>
      </c>
      <c r="E10" s="23">
        <f>'Executive Dashboard'!E19</f>
        <v/>
      </c>
      <c r="F10" s="23">
        <f>'Executive Dashboard'!F19</f>
        <v/>
      </c>
      <c r="G10" s="23">
        <f>'Executive Dashboard'!G19</f>
        <v/>
      </c>
      <c r="H10" s="23">
        <f>SUM(C10:G10)</f>
        <v/>
      </c>
    </row>
    <row r="11">
      <c r="A11" s="24" t="inlineStr">
        <is>
          <t>Revenue (4% Fee)</t>
        </is>
      </c>
      <c r="B11" s="38" t="inlineStr">
        <is>
          <t>Annual GMV * Convenience Fee %</t>
        </is>
      </c>
      <c r="C11" s="25">
        <f>'Executive Dashboard'!C20</f>
        <v/>
      </c>
      <c r="D11" s="25">
        <f>'Executive Dashboard'!D20</f>
        <v/>
      </c>
      <c r="E11" s="25">
        <f>'Executive Dashboard'!E20</f>
        <v/>
      </c>
      <c r="F11" s="25">
        <f>'Executive Dashboard'!F20</f>
        <v/>
      </c>
      <c r="G11" s="25">
        <f>'Executive Dashboard'!G20</f>
        <v/>
      </c>
      <c r="H11" s="25">
        <f>SUM(C11:G11)</f>
        <v/>
      </c>
    </row>
    <row r="12">
      <c r="A12" s="16" t="inlineStr">
        <is>
          <t>Lean Annual OPEX</t>
        </is>
      </c>
      <c r="B12" s="38" t="inlineStr">
        <is>
          <t>Executive Dashboard OPEX</t>
        </is>
      </c>
      <c r="C12" s="26">
        <f>'Executive Dashboard'!C21</f>
        <v/>
      </c>
      <c r="D12" s="26">
        <f>'Executive Dashboard'!D21</f>
        <v/>
      </c>
      <c r="E12" s="26">
        <f>'Executive Dashboard'!E21</f>
        <v/>
      </c>
      <c r="F12" s="26">
        <f>'Executive Dashboard'!F21</f>
        <v/>
      </c>
      <c r="G12" s="26">
        <f>'Executive Dashboard'!G21</f>
        <v/>
      </c>
      <c r="H12" s="23">
        <f>SUM(C12:G12)</f>
        <v/>
      </c>
    </row>
    <row r="13">
      <c r="A13" s="16" t="inlineStr">
        <is>
          <t>Direct Variable Tech Cost</t>
        </is>
      </c>
      <c r="B13" s="38" t="inlineStr">
        <is>
          <t>Annual Orders * Variable Tech Cost</t>
        </is>
      </c>
      <c r="C13" s="26">
        <f>C9*'Executive Dashboard'!$D$31</f>
        <v/>
      </c>
      <c r="D13" s="26">
        <f>D9*'Executive Dashboard'!$D$31</f>
        <v/>
      </c>
      <c r="E13" s="26">
        <f>E9*'Executive Dashboard'!$D$31</f>
        <v/>
      </c>
      <c r="F13" s="26">
        <f>F9*'Executive Dashboard'!$D$31</f>
        <v/>
      </c>
      <c r="G13" s="26">
        <f>G9*'Executive Dashboard'!$D$31</f>
        <v/>
      </c>
      <c r="H13" s="23">
        <f>SUM(C13:G13)</f>
        <v/>
      </c>
    </row>
    <row r="14">
      <c r="A14" s="27" t="inlineStr">
        <is>
          <t>NET ANNUAL PROFIT</t>
        </is>
      </c>
      <c r="B14" s="38" t="inlineStr">
        <is>
          <t>Revenue - (Lean OPEX + Variable Tech Cost)</t>
        </is>
      </c>
      <c r="C14" s="28">
        <f>'Executive Dashboard'!C22</f>
        <v/>
      </c>
      <c r="D14" s="28">
        <f>'Executive Dashboard'!D22</f>
        <v/>
      </c>
      <c r="E14" s="28">
        <f>'Executive Dashboard'!E22</f>
        <v/>
      </c>
      <c r="F14" s="28">
        <f>'Executive Dashboard'!F22</f>
        <v/>
      </c>
      <c r="G14" s="28">
        <f>'Executive Dashboard'!G22</f>
        <v/>
      </c>
      <c r="H14" s="28">
        <f>SUM(C14:G14)</f>
        <v/>
      </c>
    </row>
    <row r="15">
      <c r="A15" s="16" t="inlineStr">
        <is>
          <t>Net Profit Margin %</t>
        </is>
      </c>
      <c r="B15" s="38" t="inlineStr">
        <is>
          <t>Net Profit / Revenue</t>
        </is>
      </c>
      <c r="C15" s="18">
        <f>'Executive Dashboard'!C23</f>
        <v/>
      </c>
      <c r="D15" s="18">
        <f>'Executive Dashboard'!D23</f>
        <v/>
      </c>
      <c r="E15" s="18">
        <f>'Executive Dashboard'!E23</f>
        <v/>
      </c>
      <c r="F15" s="18">
        <f>'Executive Dashboard'!F23</f>
        <v/>
      </c>
      <c r="G15" s="18">
        <f>'Executive Dashboard'!G23</f>
        <v/>
      </c>
      <c r="H15" s="14">
        <f>H14/H11</f>
        <v/>
      </c>
    </row>
    <row r="16">
      <c r="A16" s="16" t="inlineStr">
        <is>
          <t>Year-over-Year Growth %</t>
        </is>
      </c>
      <c r="B16" s="38" t="inlineStr">
        <is>
          <t>Revenue YoY Growth</t>
        </is>
      </c>
      <c r="C16" s="31" t="inlineStr">
        <is>
          <t>-</t>
        </is>
      </c>
      <c r="D16" s="18">
        <f>(D11-C11)/C11</f>
        <v/>
      </c>
      <c r="E16" s="18">
        <f>(E11-D11)/D11</f>
        <v/>
      </c>
      <c r="F16" s="18">
        <f>(F11-E11)/E11</f>
        <v/>
      </c>
      <c r="G16" s="18">
        <f>(G11-F11)/F11</f>
        <v/>
      </c>
      <c r="H16" s="14">
        <f>(G11/C11)^(1/4)-1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50" customWidth="1" min="2" max="2"/>
    <col width="22" customWidth="1" min="3" max="3"/>
    <col width="16" customWidth="1" min="4" max="4"/>
    <col width="54" customWidth="1" min="5" max="5"/>
    <col width="14" customWidth="1" min="6" max="6"/>
  </cols>
  <sheetData>
    <row r="1" ht="36" customHeight="1">
      <c r="A1" s="1" t="inlineStr">
        <is>
          <t xml:space="preserve">  FoodLine Campus — Setup Cost &amp; Initial Investment (Slide 9)</t>
        </is>
      </c>
    </row>
    <row r="2" ht="20" customHeight="1">
      <c r="A2" s="2" t="inlineStr">
        <is>
          <t xml:space="preserve">  Itemized capital requirements, funding allocation, and equity structure</t>
        </is>
      </c>
    </row>
    <row r="3"/>
    <row r="4">
      <c r="A4" s="9" t="inlineStr">
        <is>
          <t>INITIAL CAPITAL ALLOCATION (SLIDE 9 TABLE)</t>
        </is>
      </c>
    </row>
    <row r="5">
      <c r="A5" s="10" t="inlineStr">
        <is>
          <t>Expense Item</t>
        </is>
      </c>
      <c r="B5" s="10" t="inlineStr">
        <is>
          <t>Purpose / Allocation Details</t>
        </is>
      </c>
      <c r="C5" s="11" t="inlineStr">
        <is>
          <t>Amount (₹) [EDITABLE]</t>
        </is>
      </c>
      <c r="D5" s="11" t="inlineStr">
        <is>
          <t>% of Capital</t>
        </is>
      </c>
      <c r="E5" s="10" t="inlineStr">
        <is>
          <t>Vendor / Milestone</t>
        </is>
      </c>
    </row>
    <row r="6">
      <c r="A6" s="21" t="inlineStr">
        <is>
          <t>Software Platform Build &amp; Testing</t>
        </is>
      </c>
      <c r="B6" s="38" t="inlineStr">
        <is>
          <t>Next.js 15 PWA, real-time KDS &amp; cloud infrastructure setup</t>
        </is>
      </c>
      <c r="C6" s="36" t="n">
        <v>60000</v>
      </c>
      <c r="D6" s="18">
        <f>C6/$C$11</f>
        <v/>
      </c>
      <c r="E6" s="33" t="inlineStr">
        <is>
          <t>Full-stack development, real-time SSE stream &amp; UTR verification engine</t>
        </is>
      </c>
    </row>
    <row r="7">
      <c r="A7" s="21" t="inlineStr">
        <is>
          <t>Canteen Hardware Setup</t>
        </is>
      </c>
      <c r="B7" s="38" t="inlineStr">
        <is>
          <t>10" Android tablet + soundbox device for canteen kitchen</t>
        </is>
      </c>
      <c r="C7" s="36" t="n">
        <v>15000</v>
      </c>
      <c r="D7" s="18">
        <f>C7/$C$11</f>
        <v/>
      </c>
      <c r="E7" s="33" t="inlineStr">
        <is>
          <t>Rugged 10" Android tablet + Bluetooth soundbox for incoming order chime</t>
        </is>
      </c>
    </row>
    <row r="8">
      <c r="A8" s="21" t="inlineStr">
        <is>
          <t>Company Registration &amp; Legal</t>
        </is>
      </c>
      <c r="B8" s="38" t="inlineStr">
        <is>
          <t>Pvt Ltd incorporation, GST registration, and legal agreements</t>
        </is>
      </c>
      <c r="C8" s="36" t="n">
        <v>25000</v>
      </c>
      <c r="D8" s="18">
        <f>C8/$C$11</f>
        <v/>
      </c>
      <c r="E8" s="33" t="inlineStr">
        <is>
          <t>Ministry of Corporate Affairs (MCA), trademark, merchant MOU agreements</t>
        </is>
      </c>
    </row>
    <row r="9">
      <c r="A9" s="21" t="inlineStr">
        <is>
          <t>Branding &amp; Campus Signage</t>
        </is>
      </c>
      <c r="B9" s="38" t="inlineStr">
        <is>
          <t>QR code table tents for 50 tables + express counter banner</t>
        </is>
      </c>
      <c r="C9" s="36" t="n">
        <v>20000</v>
      </c>
      <c r="D9" s="18">
        <f>C9/$C$11</f>
        <v/>
      </c>
      <c r="E9" s="33" t="inlineStr">
        <is>
          <t>Acrylic table QR stands, express pickup counter vinyl branding &amp; banners</t>
        </is>
      </c>
    </row>
    <row r="10">
      <c r="A10" s="21" t="inlineStr">
        <is>
          <t>Working Capital Reserve</t>
        </is>
      </c>
      <c r="B10" s="38" t="inlineStr">
        <is>
          <t>Cash buffer for Year 1 cloud hosting &amp; operations reserve</t>
        </is>
      </c>
      <c r="C10" s="36" t="n">
        <v>84000</v>
      </c>
      <c r="D10" s="18">
        <f>C10/$C$11</f>
        <v/>
      </c>
      <c r="E10" s="33" t="inlineStr">
        <is>
          <t>14 months of cloud hosting (Supabase, AWS) and contingency buffer</t>
        </is>
      </c>
    </row>
    <row r="11">
      <c r="A11" s="55" t="inlineStr">
        <is>
          <t>TOTAL INITIAL INVESTMENT REQUIRED</t>
        </is>
      </c>
      <c r="B11" s="55" t="inlineStr">
        <is>
          <t>51% Founders Equity + 49% Seed Capital</t>
        </is>
      </c>
      <c r="C11" s="56">
        <f>SUM(C6:C10)</f>
        <v/>
      </c>
      <c r="D11" s="57">
        <f>SUM(D6:D10)</f>
        <v/>
      </c>
      <c r="E11" s="58" t="inlineStr">
        <is>
          <t>100% Fully funded at launch</t>
        </is>
      </c>
    </row>
    <row r="12"/>
    <row r="13"/>
    <row r="14">
      <c r="A14" s="9" t="inlineStr">
        <is>
          <t>CAPITAL STRUCTURE &amp; OWNERSHIP SPLIT</t>
        </is>
      </c>
    </row>
    <row r="15">
      <c r="A15" s="10" t="inlineStr">
        <is>
          <t>Funding Source</t>
        </is>
      </c>
      <c r="B15" s="10" t="inlineStr">
        <is>
          <t>Investor / Contributor</t>
        </is>
      </c>
      <c r="C15" s="11" t="inlineStr">
        <is>
          <t>Amount (₹)</t>
        </is>
      </c>
      <c r="D15" s="11" t="inlineStr">
        <is>
          <t>Equity %</t>
        </is>
      </c>
      <c r="E15" s="10" t="inlineStr">
        <is>
          <t>Terms &amp; Rights</t>
        </is>
      </c>
    </row>
    <row r="16">
      <c r="A16" s="16" t="inlineStr">
        <is>
          <t>Founders Equity</t>
        </is>
      </c>
      <c r="B16" s="16" t="inlineStr">
        <is>
          <t>Shivam Nirmal &amp; Founding Team</t>
        </is>
      </c>
      <c r="C16" s="26">
        <f>$C$11*D16</f>
        <v/>
      </c>
      <c r="D16" s="18">
        <f>'Executive Dashboard'!$G$30</f>
        <v/>
      </c>
      <c r="E16" s="59" t="inlineStr">
        <is>
          <t>Controlling stake, operational leadership &amp; board control</t>
        </is>
      </c>
    </row>
    <row r="17">
      <c r="A17" s="16" t="inlineStr">
        <is>
          <t>Seed Capital / Incubation Grant</t>
        </is>
      </c>
      <c r="B17" s="16" t="inlineStr">
        <is>
          <t>SCILL / Seed Investor</t>
        </is>
      </c>
      <c r="C17" s="26">
        <f>$C$11*D17</f>
        <v/>
      </c>
      <c r="D17" s="18">
        <f>'Executive Dashboard'!$G$31</f>
        <v/>
      </c>
      <c r="E17" s="59" t="inlineStr">
        <is>
          <t>Seed incubation capital, advisory support &amp; mentor network</t>
        </is>
      </c>
    </row>
    <row r="18">
      <c r="A18" s="60" t="inlineStr">
        <is>
          <t>TOTAL CAPITAL POOL</t>
        </is>
      </c>
      <c r="B18" s="60" t="inlineStr">
        <is>
          <t>Combined Initial Capital</t>
        </is>
      </c>
      <c r="C18" s="61">
        <f>C16+C17</f>
        <v/>
      </c>
      <c r="D18" s="62">
        <f>D16+D17</f>
        <v/>
      </c>
      <c r="E18" s="63" t="inlineStr">
        <is>
          <t>18-Month operational runway with zero cash burning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38" customWidth="1" min="2" max="2"/>
    <col width="18" customWidth="1" min="3" max="3"/>
    <col width="16" customWidth="1" min="4" max="4"/>
    <col width="54" customWidth="1" min="5" max="5"/>
    <col width="49" customWidth="1" min="6" max="6"/>
  </cols>
  <sheetData>
    <row r="1" ht="36" customHeight="1">
      <c r="A1" s="1" t="inlineStr">
        <is>
          <t xml:space="preserve">  FoodLine Campus — Break-Even Point &amp; Payback Period (Slide 10)</t>
        </is>
      </c>
    </row>
    <row r="2" ht="20" customHeight="1">
      <c r="A2" s="2" t="inlineStr">
        <is>
          <t xml:space="preserve">  Mathematical viability, order thresholds, capacity cushions, and capital payback</t>
        </is>
      </c>
    </row>
    <row r="3"/>
    <row r="4">
      <c r="A4" s="9" t="inlineStr">
        <is>
          <t>1. BREAK-EVEN ANALYSIS MATH (SLIDE 10)</t>
        </is>
      </c>
    </row>
    <row r="5">
      <c r="A5" s="10" t="inlineStr">
        <is>
          <t>Viability Metric</t>
        </is>
      </c>
      <c r="B5" s="10" t="inlineStr">
        <is>
          <t>Formula / Derivation</t>
        </is>
      </c>
      <c r="C5" s="11" t="inlineStr">
        <is>
          <t>Value</t>
        </is>
      </c>
      <c r="D5" s="11" t="inlineStr">
        <is>
          <t>Unit</t>
        </is>
      </c>
      <c r="E5" s="10" t="inlineStr">
        <is>
          <t>Strategic Context</t>
        </is>
      </c>
    </row>
    <row r="6">
      <c r="A6" s="16" t="inlineStr">
        <is>
          <t>Annual Fixed OPEX</t>
        </is>
      </c>
      <c r="B6" s="38" t="inlineStr">
        <is>
          <t>Executive Dashboard Year 1 OPEX</t>
        </is>
      </c>
      <c r="C6" s="26">
        <f>'Executive Dashboard'!C21</f>
        <v/>
      </c>
      <c r="D6" s="31" t="inlineStr">
        <is>
          <t>₹/Year</t>
        </is>
      </c>
      <c r="E6" s="33" t="inlineStr">
        <is>
          <t>Hosting + Campus Lead + Marketing</t>
        </is>
      </c>
    </row>
    <row r="7">
      <c r="A7" s="16" t="inlineStr">
        <is>
          <t>Monthly Fixed OPEX</t>
        </is>
      </c>
      <c r="B7" s="38" t="inlineStr">
        <is>
          <t>Annual OPEX / 12</t>
        </is>
      </c>
      <c r="C7" s="26">
        <f>C6/'Executive Dashboard'!$D$30</f>
        <v/>
      </c>
      <c r="D7" s="31" t="inlineStr">
        <is>
          <t>₹/Month</t>
        </is>
      </c>
      <c r="E7" s="33" t="inlineStr">
        <is>
          <t>Extremely lean monthly burn rate</t>
        </is>
      </c>
    </row>
    <row r="8">
      <c r="A8" s="16" t="inlineStr">
        <is>
          <t>Average Order Value (AOV)</t>
        </is>
      </c>
      <c r="B8" s="38" t="inlineStr">
        <is>
          <t>Executive Dashboard AOV</t>
        </is>
      </c>
      <c r="C8" s="41">
        <f>'Executive Dashboard'!$D$27</f>
        <v/>
      </c>
      <c r="D8" s="31" t="inlineStr">
        <is>
          <t>₹/Order</t>
        </is>
      </c>
      <c r="E8" s="33" t="inlineStr">
        <is>
          <t>Snack + Beverage combo average ticket size</t>
        </is>
      </c>
    </row>
    <row r="9">
      <c r="A9" s="16" t="inlineStr">
        <is>
          <t>Student Convenience Fee Rate</t>
        </is>
      </c>
      <c r="B9" s="38" t="inlineStr">
        <is>
          <t>AOV * Fee %</t>
        </is>
      </c>
      <c r="C9" s="41">
        <f>C8*'Executive Dashboard'!$D$28</f>
        <v/>
      </c>
      <c r="D9" s="31" t="inlineStr">
        <is>
          <t>₹/Order</t>
        </is>
      </c>
      <c r="E9" s="33" t="inlineStr">
        <is>
          <t>Gross platform revenue collected per order</t>
        </is>
      </c>
    </row>
    <row r="10">
      <c r="A10" s="16" t="inlineStr">
        <is>
          <t>Direct Variable Tech Cost per Order</t>
        </is>
      </c>
      <c r="B10" s="38" t="inlineStr">
        <is>
          <t>Executive Dashboard Tech Cost</t>
        </is>
      </c>
      <c r="C10" s="41">
        <f>'Executive Dashboard'!$D$31</f>
        <v/>
      </c>
      <c r="D10" s="31" t="inlineStr">
        <is>
          <t>₹/Order</t>
        </is>
      </c>
      <c r="E10" s="33" t="inlineStr">
        <is>
          <t>SMS OTP, Supabase real-time SSE stream</t>
        </is>
      </c>
    </row>
    <row r="11">
      <c r="A11" s="21" t="inlineStr">
        <is>
          <t>Net Contribution Margin per Order</t>
        </is>
      </c>
      <c r="B11" s="38" t="inlineStr">
        <is>
          <t>Revenue/Order - Tech Cost/Order</t>
        </is>
      </c>
      <c r="C11" s="41">
        <f>C9-C10</f>
        <v/>
      </c>
      <c r="D11" s="31" t="inlineStr">
        <is>
          <t>₹/Order</t>
        </is>
      </c>
      <c r="E11" s="33" t="inlineStr">
        <is>
          <t>Net cash generated by every single order</t>
        </is>
      </c>
    </row>
    <row r="12">
      <c r="A12" s="21" t="inlineStr">
        <is>
          <t>Contribution Margin Ratio</t>
        </is>
      </c>
      <c r="B12" s="38" t="inlineStr">
        <is>
          <t>Contribution Margin / Revenue</t>
        </is>
      </c>
      <c r="C12" s="18">
        <f>C11/C9</f>
        <v/>
      </c>
      <c r="D12" s="31" t="inlineStr">
        <is>
          <t>%</t>
        </is>
      </c>
      <c r="E12" s="33" t="inlineStr">
        <is>
          <t>Contribution Margin on revenue</t>
        </is>
      </c>
    </row>
    <row r="13">
      <c r="A13" s="24" t="inlineStr">
        <is>
          <t>ANNUAL BREAK-EVEN ORDER VOLUME</t>
        </is>
      </c>
      <c r="B13" s="38" t="inlineStr">
        <is>
          <t>Annual Fixed OPEX / Contribution Margin</t>
        </is>
      </c>
      <c r="C13" s="64">
        <f>IF(C11&gt;0, C6/C11, 0)</f>
        <v/>
      </c>
      <c r="D13" s="40" t="inlineStr">
        <is>
          <t>Orders/Year</t>
        </is>
      </c>
      <c r="E13" s="33" t="inlineStr">
        <is>
          <t>Fixed costs ÷ Contribution Margin</t>
        </is>
      </c>
    </row>
    <row r="14">
      <c r="A14" s="24" t="inlineStr">
        <is>
          <t>MONTHLY BREAK-EVEN ORDERS</t>
        </is>
      </c>
      <c r="B14" s="38" t="inlineStr">
        <is>
          <t>Annual Break-Even Orders / 12</t>
        </is>
      </c>
      <c r="C14" s="64">
        <f>C13/'Executive Dashboard'!$D$30</f>
        <v/>
      </c>
      <c r="D14" s="40" t="inlineStr">
        <is>
          <t>Orders/Mo</t>
        </is>
      </c>
      <c r="E14" s="33" t="inlineStr">
        <is>
          <t>Monthly break-even order volume</t>
        </is>
      </c>
    </row>
    <row r="15">
      <c r="A15" s="24" t="inlineStr">
        <is>
          <t>DAILY BREAK-EVEN ORDERS</t>
        </is>
      </c>
      <c r="B15" s="38" t="inlineStr">
        <is>
          <t>Monthly Orders / 25 Operating Days</t>
        </is>
      </c>
      <c r="C15" s="64">
        <f>C14/25</f>
        <v/>
      </c>
      <c r="D15" s="40" t="inlineStr">
        <is>
          <t>Orders/Day</t>
        </is>
      </c>
      <c r="E15" s="33" t="inlineStr">
        <is>
          <t>Assumes 25 operating days/month</t>
        </is>
      </c>
    </row>
    <row r="16">
      <c r="A16" s="16" t="inlineStr">
        <is>
          <t>Projected Pilot Annual Orders</t>
        </is>
      </c>
      <c r="B16" s="38" t="inlineStr">
        <is>
          <t>Single-Campus Pilot Volume</t>
        </is>
      </c>
      <c r="C16" s="17">
        <f>'Single-Campus Pilot Economics'!$D$5</f>
        <v/>
      </c>
      <c r="D16" s="31" t="inlineStr">
        <is>
          <t>Orders/Year</t>
        </is>
      </c>
      <c r="E16" s="33" t="inlineStr">
        <is>
          <t>Modeled pilot volume</t>
        </is>
      </c>
    </row>
    <row r="17">
      <c r="A17" s="16" t="inlineStr">
        <is>
          <t>Capacity Cushion / Break-Even %</t>
        </is>
      </c>
      <c r="B17" s="38" t="inlineStr">
        <is>
          <t>Break-Even Orders / Projected Orders</t>
        </is>
      </c>
      <c r="C17" s="18">
        <f>IF(C16&gt;0, C13/C16, 0)</f>
        <v/>
      </c>
      <c r="D17" s="31" t="inlineStr">
        <is>
          <t>%</t>
        </is>
      </c>
      <c r="E17" s="33" t="inlineStr">
        <is>
          <t>% of pilot volume needed to break even</t>
        </is>
      </c>
    </row>
    <row r="18">
      <c r="A18" s="27" t="inlineStr">
        <is>
          <t>SAFETY MARGIN</t>
        </is>
      </c>
      <c r="B18" s="38" t="inlineStr">
        <is>
          <t>1 - Capacity Cushion</t>
        </is>
      </c>
      <c r="C18" s="45">
        <f>1-C17</f>
        <v/>
      </c>
      <c r="D18" s="31" t="inlineStr">
        <is>
          <t>%</t>
        </is>
      </c>
      <c r="E18" s="33" t="inlineStr">
        <is>
          <t>Safety buffer above break-even point</t>
        </is>
      </c>
    </row>
    <row r="19"/>
    <row r="20"/>
    <row r="21">
      <c r="A21" s="9" t="inlineStr">
        <is>
          <t>2. ESTIMATED PAYBACK PERIOD &amp; FINANCIAL VIABILITY (SLIDE 10)</t>
        </is>
      </c>
    </row>
    <row r="22">
      <c r="A22" s="10" t="inlineStr">
        <is>
          <t>Payback Milestone</t>
        </is>
      </c>
      <c r="B22" s="10" t="inlineStr">
        <is>
          <t>Calculation Formula</t>
        </is>
      </c>
      <c r="C22" s="29" t="inlineStr">
        <is>
          <t>Timeline</t>
        </is>
      </c>
      <c r="D22" s="29" t="inlineStr">
        <is>
          <t>Status</t>
        </is>
      </c>
      <c r="E22" s="10" t="inlineStr">
        <is>
          <t>Operational Justification</t>
        </is>
      </c>
    </row>
    <row r="23">
      <c r="A23" s="21" t="inlineStr">
        <is>
          <t>Hardware Tablet Payback</t>
        </is>
      </c>
      <c r="B23" s="38" t="inlineStr">
        <is>
          <t>Tablet Cost (₹15,000) / Monthly Profit</t>
        </is>
      </c>
      <c r="C23" s="65" t="inlineStr">
        <is>
          <t>&lt; 45 Days</t>
        </is>
      </c>
      <c r="D23" s="40" t="inlineStr">
        <is>
          <t>Ultra-Rapid</t>
        </is>
      </c>
      <c r="E23" s="33" t="inlineStr">
        <is>
          <t>The ₹15,000 kitchen tablet cost is covered within 45 days of live orders</t>
        </is>
      </c>
    </row>
    <row r="24">
      <c r="A24" s="21" t="inlineStr">
        <is>
          <t>Operational Break-Even</t>
        </is>
      </c>
      <c r="B24" s="38" t="inlineStr">
        <is>
          <t>Fixed OPEX covered by monthly contribution margin</t>
        </is>
      </c>
      <c r="C24" s="65" t="inlineStr">
        <is>
          <t>Month 1</t>
        </is>
      </c>
      <c r="D24" s="40" t="inlineStr">
        <is>
          <t>Target Achieved</t>
        </is>
      </c>
      <c r="E24" s="33" t="inlineStr">
        <is>
          <t>Immediate operating profitability due to zero merchant churn and direct UPI</t>
        </is>
      </c>
    </row>
    <row r="25">
      <c r="A25" s="21" t="inlineStr">
        <is>
          <t>Full Capital Payback</t>
        </is>
      </c>
      <c r="B25" s="38" t="inlineStr">
        <is>
          <t>Total Capital (₹2,04,000) / Monthly Profit</t>
        </is>
      </c>
      <c r="C25" s="65" t="inlineStr">
        <is>
          <t>&lt; 4 Months</t>
        </is>
      </c>
      <c r="D25" s="40" t="inlineStr">
        <is>
          <t>Super-Fast</t>
        </is>
      </c>
      <c r="E25" s="33" t="inlineStr">
        <is>
          <t>Entire ₹2.04 Lakhs initial setup investment recovered in less than 4 months</t>
        </is>
      </c>
    </row>
    <row r="26">
      <c r="A26" s="21" t="inlineStr">
        <is>
          <t>Canteen Churn Rate</t>
        </is>
      </c>
      <c r="B26" s="38" t="inlineStr">
        <is>
          <t>0% Commission Model</t>
        </is>
      </c>
      <c r="C26" s="65" t="inlineStr">
        <is>
          <t>0.0%</t>
        </is>
      </c>
      <c r="D26" s="40" t="inlineStr">
        <is>
          <t>Zero Churn</t>
        </is>
      </c>
      <c r="E26" s="33" t="inlineStr">
        <is>
          <t>Because canteens pay ₹0 commission, zero canteens churn or cancel</t>
        </is>
      </c>
    </row>
    <row r="27">
      <c r="A27" s="21" t="inlineStr">
        <is>
          <t>Cash Flow Settlement</t>
        </is>
      </c>
      <c r="B27" s="38" t="inlineStr">
        <is>
          <t>Direct UPI Bank Rail</t>
        </is>
      </c>
      <c r="C27" s="65" t="inlineStr">
        <is>
          <t>Same-Day (T+0)</t>
        </is>
      </c>
      <c r="D27" s="40" t="inlineStr">
        <is>
          <t>Instant Liquidity</t>
        </is>
      </c>
      <c r="E27" s="33" t="inlineStr">
        <is>
          <t>Direct UPI routing ensures same-day settlement with zero debt or credit risk</t>
        </is>
      </c>
    </row>
    <row r="28"/>
    <row r="29"/>
    <row r="30">
      <c r="A30" s="9" t="inlineStr">
        <is>
          <t>3. SENSITIVITY MATRIX: ANNUAL REVENUE PER CAMPUS (AOV vs CONVENIENCE FEE %)</t>
        </is>
      </c>
    </row>
    <row r="31">
      <c r="A31" s="29" t="inlineStr">
        <is>
          <t>AOV \ Fee Rate</t>
        </is>
      </c>
      <c r="B31" s="66" t="n">
        <v>0.03</v>
      </c>
      <c r="C31" s="66" t="n">
        <v>0.035</v>
      </c>
      <c r="D31" s="66" t="n">
        <v>0.04</v>
      </c>
      <c r="E31" s="66" t="n">
        <v>0.045</v>
      </c>
      <c r="F31" s="66" t="n">
        <v>0.05</v>
      </c>
    </row>
    <row r="32">
      <c r="A32" s="34" t="n">
        <v>50</v>
      </c>
      <c r="B32" s="26">
        <f>'Single-Campus Pilot Economics'!$D$5*A32*B31</f>
        <v/>
      </c>
      <c r="C32" s="26">
        <f>'Single-Campus Pilot Economics'!$D$5*A32*C31</f>
        <v/>
      </c>
      <c r="D32" s="26">
        <f>'Single-Campus Pilot Economics'!$D$5*A32*D31</f>
        <v/>
      </c>
      <c r="E32" s="26">
        <f>'Single-Campus Pilot Economics'!$D$5*A32*E31</f>
        <v/>
      </c>
      <c r="F32" s="26">
        <f>'Single-Campus Pilot Economics'!$D$5*A32*F31</f>
        <v/>
      </c>
    </row>
    <row r="33">
      <c r="A33" s="34" t="n">
        <v>60</v>
      </c>
      <c r="B33" s="26">
        <f>'Single-Campus Pilot Economics'!$D$5*A33*B31</f>
        <v/>
      </c>
      <c r="C33" s="26">
        <f>'Single-Campus Pilot Economics'!$D$5*A33*C31</f>
        <v/>
      </c>
      <c r="D33" s="26">
        <f>'Single-Campus Pilot Economics'!$D$5*A33*D31</f>
        <v/>
      </c>
      <c r="E33" s="26">
        <f>'Single-Campus Pilot Economics'!$D$5*A33*E31</f>
        <v/>
      </c>
      <c r="F33" s="26">
        <f>'Single-Campus Pilot Economics'!$D$5*A33*F31</f>
        <v/>
      </c>
    </row>
    <row r="34">
      <c r="A34" s="34" t="n">
        <v>70</v>
      </c>
      <c r="B34" s="26">
        <f>'Single-Campus Pilot Economics'!$D$5*A34*B31</f>
        <v/>
      </c>
      <c r="C34" s="26">
        <f>'Single-Campus Pilot Economics'!$D$5*A34*C31</f>
        <v/>
      </c>
      <c r="D34" s="25">
        <f>'Single-Campus Pilot Economics'!$D$5*A34*D31</f>
        <v/>
      </c>
      <c r="E34" s="26">
        <f>'Single-Campus Pilot Economics'!$D$5*A34*E31</f>
        <v/>
      </c>
      <c r="F34" s="26">
        <f>'Single-Campus Pilot Economics'!$D$5*A34*F31</f>
        <v/>
      </c>
    </row>
    <row r="35">
      <c r="A35" s="34" t="n">
        <v>80</v>
      </c>
      <c r="B35" s="26">
        <f>'Single-Campus Pilot Economics'!$D$5*A35*B31</f>
        <v/>
      </c>
      <c r="C35" s="26">
        <f>'Single-Campus Pilot Economics'!$D$5*A35*C31</f>
        <v/>
      </c>
      <c r="D35" s="26">
        <f>'Single-Campus Pilot Economics'!$D$5*A35*D31</f>
        <v/>
      </c>
      <c r="E35" s="26">
        <f>'Single-Campus Pilot Economics'!$D$5*A35*E31</f>
        <v/>
      </c>
      <c r="F35" s="26">
        <f>'Single-Campus Pilot Economics'!$D$5*A35*F31</f>
        <v/>
      </c>
    </row>
    <row r="36">
      <c r="A36" s="34" t="n">
        <v>90</v>
      </c>
      <c r="B36" s="26">
        <f>'Single-Campus Pilot Economics'!$D$5*A36*B31</f>
        <v/>
      </c>
      <c r="C36" s="26">
        <f>'Single-Campus Pilot Economics'!$D$5*A36*C31</f>
        <v/>
      </c>
      <c r="D36" s="26">
        <f>'Single-Campus Pilot Economics'!$D$5*A36*D31</f>
        <v/>
      </c>
      <c r="E36" s="26">
        <f>'Single-Campus Pilot Economics'!$D$5*A36*E31</f>
        <v/>
      </c>
      <c r="F36" s="26">
        <f>'Single-Campus Pilot Economics'!$D$5*A36*F31</f>
        <v/>
      </c>
    </row>
    <row r="37">
      <c r="A37" s="34" t="n">
        <v>100</v>
      </c>
      <c r="B37" s="26">
        <f>'Single-Campus Pilot Economics'!$D$5*A37*B31</f>
        <v/>
      </c>
      <c r="C37" s="26">
        <f>'Single-Campus Pilot Economics'!$D$5*A37*C31</f>
        <v/>
      </c>
      <c r="D37" s="26">
        <f>'Single-Campus Pilot Economics'!$D$5*A37*D31</f>
        <v/>
      </c>
      <c r="E37" s="26">
        <f>'Single-Campus Pilot Economics'!$D$5*A37*E31</f>
        <v/>
      </c>
      <c r="F37" s="26">
        <f>'Single-Campus Pilot Economics'!$D$5*A37*F31</f>
        <v/>
      </c>
    </row>
    <row r="38"/>
    <row r="39">
      <c r="A39" s="67" t="inlineStr">
        <is>
          <t>* Highlighted cell represents user's active baseline: ₹70 AOV and 4% Fee.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44" customWidth="1" min="1" max="1"/>
    <col width="38" customWidth="1" min="2" max="2"/>
    <col width="32" customWidth="1" min="3" max="3"/>
    <col width="16" customWidth="1" min="4" max="4"/>
    <col width="22" customWidth="1" min="5" max="5"/>
    <col width="20" customWidth="1" min="6" max="6"/>
    <col width="20" customWidth="1" min="7" max="7"/>
    <col width="20" customWidth="1" min="8" max="8"/>
    <col width="34" customWidth="1" min="9" max="9"/>
  </cols>
  <sheetData>
    <row r="1" ht="36" customHeight="1">
      <c r="A1" s="1" t="inlineStr">
        <is>
          <t xml:space="preserve">  FoodLine Campus — ₹25.00 Cr Goldmine Milestone &amp; 5% Target Model</t>
        </is>
      </c>
    </row>
    <row r="2" ht="20" customHeight="1">
      <c r="A2" s="2" t="inlineStr">
        <is>
          <t xml:space="preserve">  User Defined: ₹25,00,00,000 GM Milestone Valuation | 5% Target = ₹1,25,00,000 (Achieved in Year 5!)</t>
        </is>
      </c>
    </row>
    <row r="3"/>
    <row r="4">
      <c r="A4" s="9" t="inlineStr">
        <is>
          <t>1. REVISED GOLDMINE 5% TARGET &amp; 5-YEAR ACHIEVEMENT SUMMARY</t>
        </is>
      </c>
    </row>
    <row r="5">
      <c r="A5" s="10" t="inlineStr">
        <is>
          <t>Goldmine Parameter</t>
        </is>
      </c>
      <c r="B5" s="10" t="inlineStr">
        <is>
          <t>Model Derivation</t>
        </is>
      </c>
      <c r="C5" s="11" t="inlineStr">
        <is>
          <t>Value</t>
        </is>
      </c>
      <c r="D5" s="11" t="inlineStr">
        <is>
          <t>Unit</t>
        </is>
      </c>
      <c r="E5" s="10" t="inlineStr">
        <is>
          <t>Strategic Basis &amp; Status</t>
        </is>
      </c>
    </row>
    <row r="6">
      <c r="A6" s="24" t="inlineStr">
        <is>
          <t>Total Goldmine (GM) Milestone Valuation</t>
        </is>
      </c>
      <c r="B6" s="38" t="inlineStr">
        <is>
          <t>Executive Dashboard Control</t>
        </is>
      </c>
      <c r="C6" s="25">
        <f>'Executive Dashboard'!$G$33</f>
        <v/>
      </c>
      <c r="D6" s="40" t="inlineStr">
        <is>
          <t>₹</t>
        </is>
      </c>
      <c r="E6" s="33" t="inlineStr">
        <is>
          <t>₹25,00,00,000 (₹25.00 Crores) Total Target Milestone</t>
        </is>
      </c>
    </row>
    <row r="7">
      <c r="A7" s="16" t="inlineStr">
        <is>
          <t>Goldmine Target Allocation %</t>
        </is>
      </c>
      <c r="B7" s="38" t="inlineStr">
        <is>
          <t>Executive Dashboard Control</t>
        </is>
      </c>
      <c r="C7" s="18">
        <f>'Executive Dashboard'!$G$34</f>
        <v/>
      </c>
      <c r="D7" s="31" t="inlineStr">
        <is>
          <t>%</t>
        </is>
      </c>
      <c r="E7" s="33" t="inlineStr">
        <is>
          <t>5.0% Target Allocation requested by user</t>
        </is>
      </c>
    </row>
    <row r="8">
      <c r="A8" s="24" t="inlineStr">
        <is>
          <t>TARGET GOLDMINE 5% CAPITALIZATION</t>
        </is>
      </c>
      <c r="B8" s="38" t="inlineStr">
        <is>
          <t>Valuation * Target %</t>
        </is>
      </c>
      <c r="C8" s="25">
        <f>'Executive Dashboard'!$G$35</f>
        <v/>
      </c>
      <c r="D8" s="40" t="inlineStr">
        <is>
          <t>₹</t>
        </is>
      </c>
      <c r="E8" s="33" t="inlineStr">
        <is>
          <t>₹1,25,00,00,000 (₹1.25 Crores) — Target to Achieve</t>
        </is>
      </c>
    </row>
    <row r="9">
      <c r="A9" s="16" t="inlineStr">
        <is>
          <t>Year 5 Net Annual Profit Achieved</t>
        </is>
      </c>
      <c r="B9" s="38" t="inlineStr">
        <is>
          <t>Executive Dashboard Year 5 Net Profit</t>
        </is>
      </c>
      <c r="C9" s="26">
        <f>'Executive Dashboard'!$G$22</f>
        <v/>
      </c>
      <c r="D9" s="31" t="inlineStr">
        <is>
          <t>₹/Year</t>
        </is>
      </c>
      <c r="E9" s="33" t="inlineStr">
        <is>
          <t>₹1,35,00,000 (₹1.35 Crores) generated in Year 5</t>
        </is>
      </c>
    </row>
    <row r="10">
      <c r="A10" s="27" t="inlineStr">
        <is>
          <t>5-YEAR TARGET ACHIEVEMENT RATE</t>
        </is>
      </c>
      <c r="B10" s="38" t="inlineStr">
        <is>
          <t>Year 5 Profit / Target Amount</t>
        </is>
      </c>
      <c r="C10" s="45">
        <f>C9/C8</f>
        <v/>
      </c>
      <c r="D10" s="40" t="inlineStr">
        <is>
          <t>%</t>
        </is>
      </c>
      <c r="E10" s="68" t="inlineStr">
        <is>
          <t>108.0% OF TARGET ACHIEVED IN YEAR 5! (EXCEEDED BY ₹10 LAKHS)</t>
        </is>
      </c>
    </row>
    <row r="11">
      <c r="A11" s="16" t="inlineStr">
        <is>
          <t>5-Year Cumulative Net Profit Generated</t>
        </is>
      </c>
      <c r="B11" s="38" t="inlineStr">
        <is>
          <t>Sum of Years 1-5 Profit</t>
        </is>
      </c>
      <c r="C11" s="26">
        <f>'Executive Dashboard'!H22</f>
        <v/>
      </c>
      <c r="D11" s="31" t="inlineStr">
        <is>
          <t>₹</t>
        </is>
      </c>
      <c r="E11" s="33" t="inlineStr">
        <is>
          <t>₹3,80,24,999 (~₹3.80 Crores) cumulative earnings</t>
        </is>
      </c>
    </row>
    <row r="12">
      <c r="A12" s="27" t="inlineStr">
        <is>
          <t>CUMULATIVE 5-YEAR ACHIEVEMENT RATE</t>
        </is>
      </c>
      <c r="B12" s="38" t="inlineStr">
        <is>
          <t>Cumulative Profit / Target Amount</t>
        </is>
      </c>
      <c r="C12" s="45">
        <f>C11/C8</f>
        <v/>
      </c>
      <c r="D12" s="40" t="inlineStr">
        <is>
          <t>%</t>
        </is>
      </c>
      <c r="E12" s="68" t="inlineStr">
        <is>
          <t>304.2% OF TARGET ACHIEVED CUMULATIVELY ACROSS 5 YEARS!</t>
        </is>
      </c>
    </row>
    <row r="13">
      <c r="A13" s="16" t="inlineStr">
        <is>
          <t>Year 5 Operational Campuses</t>
        </is>
      </c>
      <c r="B13" s="38" t="inlineStr">
        <is>
          <t>Executive Dashboard Year 5 Campuses</t>
        </is>
      </c>
      <c r="C13" s="17">
        <f>'Executive Dashboard'!G14</f>
        <v/>
      </c>
      <c r="D13" s="31" t="inlineStr">
        <is>
          <t>Campuses</t>
        </is>
      </c>
      <c r="E13" s="33" t="inlineStr">
        <is>
          <t>20 Campuses in Year 5</t>
        </is>
      </c>
    </row>
    <row r="14">
      <c r="A14" s="16" t="inlineStr">
        <is>
          <t>Year 5 Active Dining Students</t>
        </is>
      </c>
      <c r="B14" s="38" t="inlineStr">
        <is>
          <t>Executive Dashboard Year 5 Students</t>
        </is>
      </c>
      <c r="C14" s="17">
        <f>'Executive Dashboard'!G16</f>
        <v/>
      </c>
      <c r="D14" s="31" t="inlineStr">
        <is>
          <t>Students</t>
        </is>
      </c>
      <c r="E14" s="33" t="inlineStr">
        <is>
          <t>30,000 Active Dining Students across 20 Campuses</t>
        </is>
      </c>
    </row>
    <row r="15">
      <c r="A15" s="16" t="inlineStr">
        <is>
          <t>Year 5 Annual Food Orders</t>
        </is>
      </c>
      <c r="B15" s="38" t="inlineStr">
        <is>
          <t>Executive Dashboard Year 5 Orders</t>
        </is>
      </c>
      <c r="C15" s="17">
        <f>'Executive Dashboard'!G18</f>
        <v/>
      </c>
      <c r="D15" s="31" t="inlineStr">
        <is>
          <t>Orders/Year</t>
        </is>
      </c>
      <c r="E15" s="33" t="inlineStr">
        <is>
          <t>54,00,000 Digital Orders processed annually</t>
        </is>
      </c>
    </row>
    <row r="16">
      <c r="A16" s="16" t="inlineStr">
        <is>
          <t>Year 5 Gross Food Volume (GMV)</t>
        </is>
      </c>
      <c r="B16" s="38" t="inlineStr">
        <is>
          <t>Executive Dashboard Year 5 GMV</t>
        </is>
      </c>
      <c r="C16" s="26">
        <f>'Executive Dashboard'!G19</f>
        <v/>
      </c>
      <c r="D16" s="31" t="inlineStr">
        <is>
          <t>₹/Year</t>
        </is>
      </c>
      <c r="E16" s="33" t="inlineStr">
        <is>
          <t>₹37,80,00,000 (₹37.80 Crores) annual food GMV</t>
        </is>
      </c>
    </row>
    <row r="17">
      <c r="A17" s="16" t="inlineStr">
        <is>
          <t>Year 5 FoodLine Revenue (4% Fee)</t>
        </is>
      </c>
      <c r="B17" s="38" t="inlineStr">
        <is>
          <t>Executive Dashboard Year 5 Revenue</t>
        </is>
      </c>
      <c r="C17" s="26">
        <f>'Executive Dashboard'!G20</f>
        <v/>
      </c>
      <c r="D17" s="31" t="inlineStr">
        <is>
          <t>₹/Year</t>
        </is>
      </c>
      <c r="E17" s="33" t="inlineStr">
        <is>
          <t>₹1,51,20,000 (₹1.51 Crores) annual revenue</t>
        </is>
      </c>
    </row>
    <row r="18"/>
    <row r="19"/>
    <row r="20">
      <c r="A20" s="9" t="inlineStr">
        <is>
          <t>2. YEAR-BY-YEAR TARGET PROGRESSION TOWARD ₹1.25 CR (5% OF ₹25 CR)</t>
        </is>
      </c>
    </row>
    <row r="21">
      <c r="A21" s="10" t="inlineStr">
        <is>
          <t>Year</t>
        </is>
      </c>
      <c r="B21" s="11" t="inlineStr">
        <is>
          <t>Campuses</t>
        </is>
      </c>
      <c r="C21" s="11" t="inlineStr">
        <is>
          <t>Active Students</t>
        </is>
      </c>
      <c r="D21" s="11" t="inlineStr">
        <is>
          <t>Annual Orders</t>
        </is>
      </c>
      <c r="E21" s="11" t="inlineStr">
        <is>
          <t>GMV (₹)</t>
        </is>
      </c>
      <c r="F21" s="11" t="inlineStr">
        <is>
          <t>Revenue (4%)</t>
        </is>
      </c>
      <c r="G21" s="11" t="inlineStr">
        <is>
          <t>Net Profit (₹)</t>
        </is>
      </c>
      <c r="H21" s="11" t="inlineStr">
        <is>
          <t>% of ₹1.25 Cr Target</t>
        </is>
      </c>
      <c r="I21" s="10" t="inlineStr">
        <is>
          <t>Achievement Status</t>
        </is>
      </c>
    </row>
    <row r="22">
      <c r="A22" s="21" t="inlineStr">
        <is>
          <t>Year 1</t>
        </is>
      </c>
      <c r="B22" s="17">
        <f>'Executive Dashboard'!C14</f>
        <v/>
      </c>
      <c r="C22" s="17">
        <f>'Executive Dashboard'!C16</f>
        <v/>
      </c>
      <c r="D22" s="17">
        <f>'Executive Dashboard'!C18</f>
        <v/>
      </c>
      <c r="E22" s="26">
        <f>'Executive Dashboard'!C19</f>
        <v/>
      </c>
      <c r="F22" s="26">
        <f>'Executive Dashboard'!C20</f>
        <v/>
      </c>
      <c r="G22" s="23">
        <f>'Executive Dashboard'!C22</f>
        <v/>
      </c>
      <c r="H22" s="14">
        <f>G22/$C$8</f>
        <v/>
      </c>
      <c r="I22" s="33" t="inlineStr">
        <is>
          <t>Scaling (18%)</t>
        </is>
      </c>
    </row>
    <row r="23">
      <c r="A23" s="21" t="inlineStr">
        <is>
          <t>Year 2</t>
        </is>
      </c>
      <c r="B23" s="17">
        <f>'Executive Dashboard'!D14</f>
        <v/>
      </c>
      <c r="C23" s="17">
        <f>'Executive Dashboard'!D16</f>
        <v/>
      </c>
      <c r="D23" s="17">
        <f>'Executive Dashboard'!D18</f>
        <v/>
      </c>
      <c r="E23" s="26">
        <f>'Executive Dashboard'!D19</f>
        <v/>
      </c>
      <c r="F23" s="26">
        <f>'Executive Dashboard'!D20</f>
        <v/>
      </c>
      <c r="G23" s="23">
        <f>'Executive Dashboard'!D22</f>
        <v/>
      </c>
      <c r="H23" s="14">
        <f>G23/$C$8</f>
        <v/>
      </c>
      <c r="I23" s="33" t="inlineStr">
        <is>
          <t>Scaling (36%)</t>
        </is>
      </c>
    </row>
    <row r="24">
      <c r="A24" s="21" t="inlineStr">
        <is>
          <t>Year 3</t>
        </is>
      </c>
      <c r="B24" s="17">
        <f>'Executive Dashboard'!E14</f>
        <v/>
      </c>
      <c r="C24" s="17">
        <f>'Executive Dashboard'!E16</f>
        <v/>
      </c>
      <c r="D24" s="17">
        <f>'Executive Dashboard'!E18</f>
        <v/>
      </c>
      <c r="E24" s="26">
        <f>'Executive Dashboard'!E19</f>
        <v/>
      </c>
      <c r="F24" s="26">
        <f>'Executive Dashboard'!E20</f>
        <v/>
      </c>
      <c r="G24" s="23">
        <f>'Executive Dashboard'!E22</f>
        <v/>
      </c>
      <c r="H24" s="14">
        <f>G24/$C$8</f>
        <v/>
      </c>
      <c r="I24" s="33" t="inlineStr">
        <is>
          <t>Scaling (54%)</t>
        </is>
      </c>
    </row>
    <row r="25">
      <c r="A25" s="21" t="inlineStr">
        <is>
          <t>Year 4</t>
        </is>
      </c>
      <c r="B25" s="17">
        <f>'Executive Dashboard'!F14</f>
        <v/>
      </c>
      <c r="C25" s="17">
        <f>'Executive Dashboard'!F16</f>
        <v/>
      </c>
      <c r="D25" s="17">
        <f>'Executive Dashboard'!F18</f>
        <v/>
      </c>
      <c r="E25" s="26">
        <f>'Executive Dashboard'!F19</f>
        <v/>
      </c>
      <c r="F25" s="26">
        <f>'Executive Dashboard'!F20</f>
        <v/>
      </c>
      <c r="G25" s="23">
        <f>'Executive Dashboard'!F22</f>
        <v/>
      </c>
      <c r="H25" s="14">
        <f>G25/$C$8</f>
        <v/>
      </c>
      <c r="I25" s="33" t="inlineStr">
        <is>
          <t>Near Target (81%)</t>
        </is>
      </c>
    </row>
    <row r="26">
      <c r="A26" s="21" t="inlineStr">
        <is>
          <t>Year 5</t>
        </is>
      </c>
      <c r="B26" s="17">
        <f>'Executive Dashboard'!G14</f>
        <v/>
      </c>
      <c r="C26" s="17">
        <f>'Executive Dashboard'!G16</f>
        <v/>
      </c>
      <c r="D26" s="17">
        <f>'Executive Dashboard'!G18</f>
        <v/>
      </c>
      <c r="E26" s="26">
        <f>'Executive Dashboard'!G19</f>
        <v/>
      </c>
      <c r="F26" s="26">
        <f>'Executive Dashboard'!G20</f>
        <v/>
      </c>
      <c r="G26" s="37">
        <f>'Executive Dashboard'!G22</f>
        <v/>
      </c>
      <c r="H26" s="45">
        <f>G26/$C$8</f>
        <v/>
      </c>
      <c r="I26" s="68" t="inlineStr">
        <is>
          <t>Target Achieved &amp; Exceeded!</t>
        </is>
      </c>
    </row>
    <row r="27">
      <c r="A27" s="49" t="inlineStr">
        <is>
          <t>5-YEAR TOTAL</t>
        </is>
      </c>
      <c r="B27" s="50" t="inlineStr">
        <is>
          <t>-</t>
        </is>
      </c>
      <c r="C27" s="50" t="inlineStr">
        <is>
          <t>-</t>
        </is>
      </c>
      <c r="D27" s="51">
        <f>SUM(D22:D26)</f>
        <v/>
      </c>
      <c r="E27" s="52">
        <f>SUM(E22:E26)</f>
        <v/>
      </c>
      <c r="F27" s="52">
        <f>SUM(F22:F26)</f>
        <v/>
      </c>
      <c r="G27" s="53">
        <f>SUM(G22:G26)</f>
        <v/>
      </c>
      <c r="H27" s="69">
        <f>G27/$C$8</f>
        <v/>
      </c>
      <c r="I27" s="70" t="inlineStr">
        <is>
          <t>304.2% CUMULATIVE RETURN!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2026-09-19T15:12:30Z</dcterms:created>
  <dcterms:modified xmlns:dcterms="http://purl.org/dc/terms/" xmlns:xsi="http://www.w3.org/2001/XMLSchema-instance" xsi:type="dcterms:W3CDTF">2026-09-19T15:12:31Z</dcterms:modified>
</cp:coreProperties>
</file>